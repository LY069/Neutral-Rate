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ettings" sheetId="3" state="visible" r:id="rId3"/>
    <sheet name="Dashboard" sheetId="4" state="visible" r:id="rId4"/>
    <sheet name="Python_faithfu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i val="1"/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4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Japan natural rate of interest (r*)</a:t>
            </a:r>
          </a:p>
        </rich>
      </tx>
    </title>
    <plotArea>
      <lineChart>
        <grouping val="standard"/>
        <ser>
          <idx val="0"/>
          <order val="0"/>
          <tx>
            <strRef>
              <f>'Data'!AA1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'Data'!$A$2:$A$165</f>
            </numRef>
          </cat>
          <val>
            <numRef>
              <f>'Data'!$AA$2:$AA$165</f>
            </numRef>
          </val>
        </ser>
        <ser>
          <idx val="1"/>
          <order val="1"/>
          <tx>
            <strRef>
              <f>'Data'!AB1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'Data'!$A$2:$A$165</f>
            </numRef>
          </cat>
          <val>
            <numRef>
              <f>'Data'!$AB$2:$AB$165</f>
            </numRef>
          </val>
        </ser>
        <ser>
          <idx val="2"/>
          <order val="2"/>
          <tx>
            <strRef>
              <f>'Data'!AC1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'Data'!$A$2:$A$165</f>
            </numRef>
          </cat>
          <val>
            <numRef>
              <f>'Data'!$AC$2:$AC$165</f>
            </numRef>
          </val>
        </ser>
        <ser>
          <idx val="3"/>
          <order val="3"/>
          <tx>
            <strRef>
              <f>'Data'!AD1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'Data'!$A$2:$A$165</f>
            </numRef>
          </cat>
          <val>
            <numRef>
              <f>'Data'!$AD$2:$AD$165</f>
            </numRef>
          </val>
        </ser>
        <ser>
          <idx val="4"/>
          <order val="4"/>
          <tx>
            <strRef>
              <f>'Data'!AE1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'Data'!$A$2:$A$165</f>
            </numRef>
          </cat>
          <val>
            <numRef>
              <f>'Data'!$AE$2:$AE$165</f>
            </numRef>
          </val>
        </ser>
        <ser>
          <idx val="5"/>
          <order val="5"/>
          <tx>
            <strRef>
              <f>'Data'!AF1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'Data'!$A$2:$A$165</f>
            </numRef>
          </cat>
          <val>
            <numRef>
              <f>'Data'!$AF$2:$AF$165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annualized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Japan r* - faithful Python estimates</a:t>
            </a:r>
          </a:p>
        </rich>
      </tx>
    </title>
    <plotArea>
      <lineChart>
        <grouping val="standard"/>
        <ser>
          <idx val="0"/>
          <order val="0"/>
          <tx>
            <strRef>
              <f>'Python_faithful'!B3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'Python_faithful'!$A$4:$A$167</f>
            </numRef>
          </cat>
          <val>
            <numRef>
              <f>'Python_faithful'!$B$4:$B$167</f>
            </numRef>
          </val>
        </ser>
        <ser>
          <idx val="1"/>
          <order val="1"/>
          <tx>
            <strRef>
              <f>'Python_faithful'!C3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'Python_faithful'!$A$4:$A$167</f>
            </numRef>
          </cat>
          <val>
            <numRef>
              <f>'Python_faithful'!$C$4:$C$167</f>
            </numRef>
          </val>
        </ser>
        <ser>
          <idx val="2"/>
          <order val="2"/>
          <tx>
            <strRef>
              <f>'Python_faithful'!D3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'Python_faithful'!$A$4:$A$167</f>
            </numRef>
          </cat>
          <val>
            <numRef>
              <f>'Python_faithful'!$D$4:$D$167</f>
            </numRef>
          </val>
        </ser>
        <ser>
          <idx val="3"/>
          <order val="3"/>
          <tx>
            <strRef>
              <f>'Python_faithful'!E3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'Python_faithful'!$A$4:$A$167</f>
            </numRef>
          </cat>
          <val>
            <numRef>
              <f>'Python_faithful'!$E$4:$E$167</f>
            </numRef>
          </val>
        </ser>
        <ser>
          <idx val="4"/>
          <order val="4"/>
          <tx>
            <strRef>
              <f>'Python_faithful'!F3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'Python_faithful'!$A$4:$A$167</f>
            </numRef>
          </cat>
          <val>
            <numRef>
              <f>'Python_faithful'!$F$4:$F$167</f>
            </numRef>
          </val>
        </ser>
        <ser>
          <idx val="5"/>
          <order val="5"/>
          <tx>
            <strRef>
              <f>'Python_faithful'!G3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'Python_faithful'!$A$4:$A$167</f>
            </numRef>
          </cat>
          <val>
            <numRef>
              <f>'Python_faithful'!$G$4:$G$167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annualized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169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Japan Natural Rate of Interest (r*) - Six Methods</t>
        </is>
      </c>
    </row>
    <row r="2">
      <c r="A2" t="inlineStr"/>
    </row>
    <row r="3">
      <c r="A3" t="inlineStr">
        <is>
          <t>Replicates the six methods surveyed by the Bank of Japan</t>
        </is>
      </c>
    </row>
    <row r="4">
      <c r="A4" t="inlineStr">
        <is>
          <t>(Nakano, Sugioka &amp; Yamamoto 2024, BOJ WP 24-E-12; BOJ Review 2026-E-4).</t>
        </is>
      </c>
    </row>
    <row r="5">
      <c r="A5" t="inlineStr"/>
    </row>
    <row r="6">
      <c r="A6" t="inlineStr">
        <is>
          <t>SHEETS</t>
        </is>
      </c>
    </row>
    <row r="7">
      <c r="A7" t="inlineStr">
        <is>
          <t xml:space="preserve">  Settings  - window length and DSGE calibration (editable).</t>
        </is>
      </c>
    </row>
    <row r="8">
      <c r="A8" t="inlineStr">
        <is>
          <t xml:space="preserve">  Data      - quarterly panel from FRED + derived features + the six</t>
        </is>
      </c>
    </row>
    <row r="9">
      <c r="A9" t="inlineStr">
        <is>
          <t xml:space="preserve">              r* proxy columns (all live formulas).</t>
        </is>
      </c>
    </row>
    <row r="10">
      <c r="A10" t="inlineStr">
        <is>
          <t xml:space="preserve">  Dashboard - chart comparing the six r* estimates.</t>
        </is>
      </c>
    </row>
    <row r="11">
      <c r="A11" t="inlineStr"/>
    </row>
    <row r="12">
      <c r="A12" t="inlineStr">
        <is>
          <t>THE SIX METHODS (Excel proxy column on the Data sheet):</t>
        </is>
      </c>
    </row>
    <row r="13">
      <c r="A13" t="inlineStr">
        <is>
          <t xml:space="preserve">  rstar_HLW            Holston-Laubach-Williams (2017/2023)</t>
        </is>
      </c>
    </row>
    <row r="14">
      <c r="A14" t="inlineStr">
        <is>
          <t xml:space="preserve">  rstar_DSGE           Okazaki &amp; Sudo (2018) - consumption Euler</t>
        </is>
      </c>
    </row>
    <row r="15">
      <c r="A15" t="inlineStr">
        <is>
          <t xml:space="preserve">  rstar_Imakubo_NYC    Imakubo, Kojima &amp; Nakajima (2015) natural yield curve</t>
        </is>
      </c>
    </row>
    <row r="16">
      <c r="A16" t="inlineStr">
        <is>
          <t xml:space="preserve">  rstar_Nakajima_NYC   Nakajima et al. (2023) growth-anchored NYC</t>
        </is>
      </c>
    </row>
    <row r="17">
      <c r="A17" t="inlineStr">
        <is>
          <t xml:space="preserve">  rstar_GoyIwasaki     Goy &amp; Iwasaki (2024) macro-finance natural curve</t>
        </is>
      </c>
    </row>
    <row r="18">
      <c r="A18" t="inlineStr">
        <is>
          <t xml:space="preserve">  rstar_DelNegro_VAR   Del Negro et al. (2017) VAR common trends</t>
        </is>
      </c>
    </row>
    <row r="19">
      <c r="A19" t="inlineStr"/>
    </row>
    <row r="20">
      <c r="A20" t="inlineStr">
        <is>
          <t>IMPORTANT - fidelity:</t>
        </is>
      </c>
    </row>
    <row r="21">
      <c r="A21" t="inlineStr">
        <is>
          <t xml:space="preserve">  The Excel columns are transparent REDUCED-FORM PROXIES that update</t>
        </is>
      </c>
    </row>
    <row r="22">
      <c r="A22" t="inlineStr">
        <is>
          <t xml:space="preserve">  live with the data. The faithful state-space / MLE estimates are in</t>
        </is>
      </c>
    </row>
    <row r="23">
      <c r="A23" t="inlineStr">
        <is>
          <t xml:space="preserve">  the Python package (run: python -m neutralrate.run_all). See</t>
        </is>
      </c>
    </row>
    <row r="24">
      <c r="A24" t="inlineStr">
        <is>
          <t xml:space="preserve">  docs/01_research_report.md and docs/02_update_manual.md.</t>
        </is>
      </c>
    </row>
    <row r="25">
      <c r="A25" t="inlineStr"/>
    </row>
    <row r="26">
      <c r="A26" t="inlineStr">
        <is>
          <t>TO UPDATE THE DATA:</t>
        </is>
      </c>
    </row>
    <row r="27">
      <c r="A27" t="inlineStr">
        <is>
          <t xml:space="preserve">  Option A (automated): python python/scripts/refresh_data.py --excel</t>
        </is>
      </c>
    </row>
    <row r="28">
      <c r="A28" t="inlineStr">
        <is>
          <t xml:space="preserve">  Option B (native):    Data &gt; Refresh All after setting up Power Query</t>
        </is>
      </c>
    </row>
    <row r="29">
      <c r="A29" t="inlineStr">
        <is>
          <t xml:space="preserve">                        (steps in docs/02_update_manual.md).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</cols>
  <sheetData>
    <row r="1">
      <c r="A1" s="2" t="inlineStr">
        <is>
          <t>date</t>
        </is>
      </c>
      <c r="B1" s="2" t="inlineStr">
        <is>
          <t>real_gdp</t>
        </is>
      </c>
      <c r="C1" s="2" t="inlineStr">
        <is>
          <t>consumption</t>
        </is>
      </c>
      <c r="D1" s="2" t="inlineStr">
        <is>
          <t>cpi</t>
        </is>
      </c>
      <c r="E1" s="2" t="inlineStr">
        <is>
          <t>short_rate</t>
        </is>
      </c>
      <c r="F1" s="2" t="inlineStr">
        <is>
          <t>rate_3m</t>
        </is>
      </c>
      <c r="G1" s="2" t="inlineStr">
        <is>
          <t>rate_10y</t>
        </is>
      </c>
      <c r="H1" s="2" t="inlineStr">
        <is>
          <t>working_age_pop</t>
        </is>
      </c>
      <c r="I1" s="2" t="inlineStr">
        <is>
          <t>log_gdp</t>
        </is>
      </c>
      <c r="J1" s="2" t="inlineStr">
        <is>
          <t>log_cons</t>
        </is>
      </c>
      <c r="K1" s="2" t="inlineStr">
        <is>
          <t>gdp_growth</t>
        </is>
      </c>
      <c r="L1" s="2" t="inlineStr">
        <is>
          <t>cons_growth</t>
        </is>
      </c>
      <c r="M1" s="2" t="inlineStr">
        <is>
          <t>inflation</t>
        </is>
      </c>
      <c r="N1" s="2" t="inlineStr">
        <is>
          <t>inflation_yoy</t>
        </is>
      </c>
      <c r="O1" s="2" t="inlineStr">
        <is>
          <t>exp_inflation</t>
        </is>
      </c>
      <c r="P1" s="2" t="inlineStr">
        <is>
          <t>real_short_rate</t>
        </is>
      </c>
      <c r="Q1" s="2" t="inlineStr">
        <is>
          <t>real_10y</t>
        </is>
      </c>
      <c r="R1" s="2" t="inlineStr">
        <is>
          <t>real_3m</t>
        </is>
      </c>
      <c r="S1" s="2" t="inlineStr">
        <is>
          <t>term_premium</t>
        </is>
      </c>
      <c r="T1" s="2" t="inlineStr">
        <is>
          <t>real_10y_adj</t>
        </is>
      </c>
      <c r="U1" s="2" t="inlineStr">
        <is>
          <t>curve_mid</t>
        </is>
      </c>
      <c r="V1" s="2" t="inlineStr">
        <is>
          <t>trend_growth_gdp</t>
        </is>
      </c>
      <c r="W1" s="2" t="inlineStr">
        <is>
          <t>trend_growth_cons</t>
        </is>
      </c>
      <c r="X1" s="2" t="inlineStr">
        <is>
          <t>MA_real_short</t>
        </is>
      </c>
      <c r="Y1" s="2" t="inlineStr">
        <is>
          <t>MA_real_10y_adj</t>
        </is>
      </c>
      <c r="Z1" s="2" t="inlineStr">
        <is>
          <t>MA_curve_mid</t>
        </is>
      </c>
      <c r="AA1" s="2" t="inlineStr">
        <is>
          <t>rstar_HLW</t>
        </is>
      </c>
      <c r="AB1" s="2" t="inlineStr">
        <is>
          <t>rstar_DSGE</t>
        </is>
      </c>
      <c r="AC1" s="2" t="inlineStr">
        <is>
          <t>rstar_Imakubo_NYC</t>
        </is>
      </c>
      <c r="AD1" s="2" t="inlineStr">
        <is>
          <t>rstar_Nakajima_NYC</t>
        </is>
      </c>
      <c r="AE1" s="2" t="inlineStr">
        <is>
          <t>rstar_GoyIwasaki</t>
        </is>
      </c>
      <c r="AF1" s="2" t="inlineStr">
        <is>
          <t>rstar_DelNegro_VAR</t>
        </is>
      </c>
    </row>
    <row r="2">
      <c r="A2" t="inlineStr">
        <is>
          <t>1985-01-01</t>
        </is>
      </c>
      <c r="B2" t="n">
        <v>354283.4523979547</v>
      </c>
      <c r="C2" t="n">
        <v>195510.5342845241</v>
      </c>
      <c r="D2" t="n">
        <v>60.17250719144882</v>
      </c>
      <c r="E2" t="n">
        <v>5.985687563322215</v>
      </c>
      <c r="F2" t="n">
        <v>6.159616145886272</v>
      </c>
      <c r="G2" t="n">
        <v>7.737563450935673</v>
      </c>
      <c r="H2" t="n">
        <v>86.01871932258531</v>
      </c>
      <c r="I2" t="n">
        <v>1277.785258470486</v>
      </c>
      <c r="J2" t="n">
        <v>772.8804601654912</v>
      </c>
      <c r="S2">
        <f>Q2-P2</f>
        <v/>
      </c>
      <c r="T2">
        <f>Q2-Settings!$B$5</f>
        <v/>
      </c>
      <c r="U2">
        <f>0.5*(P2+T2)</f>
        <v/>
      </c>
      <c r="V2">
        <f>AVERAGE(K2:K2)</f>
        <v/>
      </c>
      <c r="W2">
        <f>AVERAGE(L2:L2)</f>
        <v/>
      </c>
      <c r="X2">
        <f>AVERAGE(P2:P2)</f>
        <v/>
      </c>
      <c r="Y2">
        <f>AVERAGE(T2:T2)</f>
        <v/>
      </c>
      <c r="Z2">
        <f>AVERAGE(U2:U2)</f>
        <v/>
      </c>
      <c r="AA2">
        <f>0.5*V2+0.5*X2</f>
        <v/>
      </c>
      <c r="AB2">
        <f>Settings!$B$3+Settings!$B$4*W2</f>
        <v/>
      </c>
      <c r="AC2">
        <f>Z2</f>
        <v/>
      </c>
      <c r="AD2">
        <f>0.5*V2+0.5*Z2</f>
        <v/>
      </c>
      <c r="AE2">
        <f>(X2+Y2+V2)/3</f>
        <v/>
      </c>
      <c r="AF2">
        <f>0.7*X2+0.3*V2</f>
        <v/>
      </c>
    </row>
    <row r="3">
      <c r="A3" t="inlineStr">
        <is>
          <t>1985-04-01</t>
        </is>
      </c>
      <c r="B3" t="n">
        <v>357396.5497646172</v>
      </c>
      <c r="C3" t="n">
        <v>195859.4361609457</v>
      </c>
      <c r="D3" t="n">
        <v>60.37510474909438</v>
      </c>
      <c r="E3" t="n">
        <v>5.922698278965435</v>
      </c>
      <c r="F3" t="n">
        <v>6.128020162404543</v>
      </c>
      <c r="G3" t="n">
        <v>7.866475972957081</v>
      </c>
      <c r="H3" t="n">
        <v>86.03159907418807</v>
      </c>
      <c r="I3" t="n">
        <v>1278.660122795246</v>
      </c>
      <c r="J3" t="n">
        <v>773.0437858622054</v>
      </c>
      <c r="K3" t="n">
        <v>3.499457299041751</v>
      </c>
      <c r="L3" t="n">
        <v>0.6533027868567842</v>
      </c>
      <c r="M3" t="n">
        <v>1.344516047290199</v>
      </c>
      <c r="O3" t="n">
        <v>1.344516047290199</v>
      </c>
      <c r="P3" t="n">
        <v>4.578182231675236</v>
      </c>
      <c r="Q3" t="n">
        <v>6.521959925666883</v>
      </c>
      <c r="R3" t="n">
        <v>4.783504115114344</v>
      </c>
      <c r="S3">
        <f>Q3-P3</f>
        <v/>
      </c>
      <c r="T3">
        <f>Q3-Settings!$B$5</f>
        <v/>
      </c>
      <c r="U3">
        <f>0.5*(P3+T3)</f>
        <v/>
      </c>
      <c r="V3">
        <f>AVERAGE(K2:K3)</f>
        <v/>
      </c>
      <c r="W3">
        <f>AVERAGE(L2:L3)</f>
        <v/>
      </c>
      <c r="X3">
        <f>AVERAGE(P2:P3)</f>
        <v/>
      </c>
      <c r="Y3">
        <f>AVERAGE(T2:T3)</f>
        <v/>
      </c>
      <c r="Z3">
        <f>AVERAGE(U2:U3)</f>
        <v/>
      </c>
      <c r="AA3">
        <f>0.5*V3+0.5*X3</f>
        <v/>
      </c>
      <c r="AB3">
        <f>Settings!$B$3+Settings!$B$4*W3</f>
        <v/>
      </c>
      <c r="AC3">
        <f>Z3</f>
        <v/>
      </c>
      <c r="AD3">
        <f>0.5*V3+0.5*Z3</f>
        <v/>
      </c>
      <c r="AE3">
        <f>(X3+Y3+V3)/3</f>
        <v/>
      </c>
      <c r="AF3">
        <f>0.7*X3+0.3*V3</f>
        <v/>
      </c>
    </row>
    <row r="4">
      <c r="A4" t="inlineStr">
        <is>
          <t>1985-07-01</t>
        </is>
      </c>
      <c r="B4" t="n">
        <v>362693.3298642653</v>
      </c>
      <c r="C4" t="n">
        <v>200226.043771196</v>
      </c>
      <c r="D4" t="n">
        <v>60.67066290325154</v>
      </c>
      <c r="E4" t="n">
        <v>5.784566347222679</v>
      </c>
      <c r="F4" t="n">
        <v>6.020941912327627</v>
      </c>
      <c r="G4" t="n">
        <v>7.46835839594925</v>
      </c>
      <c r="H4" t="n">
        <v>85.92978654509547</v>
      </c>
      <c r="I4" t="n">
        <v>1280.131293487378</v>
      </c>
      <c r="J4" t="n">
        <v>775.3671698903294</v>
      </c>
      <c r="K4" t="n">
        <v>5.884682768527455</v>
      </c>
      <c r="L4" t="n">
        <v>9.293536112495985</v>
      </c>
      <c r="M4" t="n">
        <v>1.953368529982981</v>
      </c>
      <c r="O4" t="n">
        <v>1.64894228863659</v>
      </c>
      <c r="P4" t="n">
        <v>4.135624058586089</v>
      </c>
      <c r="Q4" t="n">
        <v>5.81941610731266</v>
      </c>
      <c r="R4" t="n">
        <v>4.371999623691037</v>
      </c>
      <c r="S4">
        <f>Q4-P4</f>
        <v/>
      </c>
      <c r="T4">
        <f>Q4-Settings!$B$5</f>
        <v/>
      </c>
      <c r="U4">
        <f>0.5*(P4+T4)</f>
        <v/>
      </c>
      <c r="V4">
        <f>AVERAGE(K2:K4)</f>
        <v/>
      </c>
      <c r="W4">
        <f>AVERAGE(L2:L4)</f>
        <v/>
      </c>
      <c r="X4">
        <f>AVERAGE(P2:P4)</f>
        <v/>
      </c>
      <c r="Y4">
        <f>AVERAGE(T2:T4)</f>
        <v/>
      </c>
      <c r="Z4">
        <f>AVERAGE(U2:U4)</f>
        <v/>
      </c>
      <c r="AA4">
        <f>0.5*V4+0.5*X4</f>
        <v/>
      </c>
      <c r="AB4">
        <f>Settings!$B$3+Settings!$B$4*W4</f>
        <v/>
      </c>
      <c r="AC4">
        <f>Z4</f>
        <v/>
      </c>
      <c r="AD4">
        <f>0.5*V4+0.5*Z4</f>
        <v/>
      </c>
      <c r="AE4">
        <f>(X4+Y4+V4)/3</f>
        <v/>
      </c>
      <c r="AF4">
        <f>0.7*X4+0.3*V4</f>
        <v/>
      </c>
    </row>
    <row r="5">
      <c r="A5" t="inlineStr">
        <is>
          <t>1985-10-01</t>
        </is>
      </c>
      <c r="B5" t="n">
        <v>368476.7348126714</v>
      </c>
      <c r="C5" t="n">
        <v>202974.504571082</v>
      </c>
      <c r="D5" t="n">
        <v>60.92773066594092</v>
      </c>
      <c r="E5" t="n">
        <v>5.746777356273258</v>
      </c>
      <c r="F5" t="n">
        <v>5.93706360514466</v>
      </c>
      <c r="G5" t="n">
        <v>7.335111911376204</v>
      </c>
      <c r="H5" t="n">
        <v>86.01655200774981</v>
      </c>
      <c r="I5" t="n">
        <v>1281.713285378173</v>
      </c>
      <c r="J5" t="n">
        <v>776.6295913949682</v>
      </c>
      <c r="K5" t="n">
        <v>6.32796756317839</v>
      </c>
      <c r="L5" t="n">
        <v>5.049686018555349</v>
      </c>
      <c r="M5" t="n">
        <v>1.691260143269346</v>
      </c>
      <c r="O5" t="n">
        <v>1.663048240180842</v>
      </c>
      <c r="P5" t="n">
        <v>4.083729116092416</v>
      </c>
      <c r="Q5" t="n">
        <v>5.672063671195362</v>
      </c>
      <c r="R5" t="n">
        <v>4.274015364963818</v>
      </c>
      <c r="S5">
        <f>Q5-P5</f>
        <v/>
      </c>
      <c r="T5">
        <f>Q5-Settings!$B$5</f>
        <v/>
      </c>
      <c r="U5">
        <f>0.5*(P5+T5)</f>
        <v/>
      </c>
      <c r="V5">
        <f>AVERAGE(K2:K5)</f>
        <v/>
      </c>
      <c r="W5">
        <f>AVERAGE(L2:L5)</f>
        <v/>
      </c>
      <c r="X5">
        <f>AVERAGE(P2:P5)</f>
        <v/>
      </c>
      <c r="Y5">
        <f>AVERAGE(T2:T5)</f>
        <v/>
      </c>
      <c r="Z5">
        <f>AVERAGE(U2:U5)</f>
        <v/>
      </c>
      <c r="AA5">
        <f>0.5*V5+0.5*X5</f>
        <v/>
      </c>
      <c r="AB5">
        <f>Settings!$B$3+Settings!$B$4*W5</f>
        <v/>
      </c>
      <c r="AC5">
        <f>Z5</f>
        <v/>
      </c>
      <c r="AD5">
        <f>0.5*V5+0.5*Z5</f>
        <v/>
      </c>
      <c r="AE5">
        <f>(X5+Y5+V5)/3</f>
        <v/>
      </c>
      <c r="AF5">
        <f>0.7*X5+0.3*V5</f>
        <v/>
      </c>
    </row>
    <row r="6">
      <c r="A6" t="inlineStr">
        <is>
          <t>1986-01-01</t>
        </is>
      </c>
      <c r="B6" t="n">
        <v>371289.376829276</v>
      </c>
      <c r="C6" t="n">
        <v>204081.2497583088</v>
      </c>
      <c r="D6" t="n">
        <v>61.12458881427456</v>
      </c>
      <c r="E6" t="n">
        <v>5.508429695789244</v>
      </c>
      <c r="F6" t="n">
        <v>5.657670816314151</v>
      </c>
      <c r="G6" t="n">
        <v>7.122245180464992</v>
      </c>
      <c r="H6" t="n">
        <v>85.98486901202648</v>
      </c>
      <c r="I6" t="n">
        <v>1282.47370290079</v>
      </c>
      <c r="J6" t="n">
        <v>777.2102137608321</v>
      </c>
      <c r="K6" t="n">
        <v>3.04167009046796</v>
      </c>
      <c r="L6" t="n">
        <v>2.32248946345544</v>
      </c>
      <c r="M6" t="n">
        <v>1.290320871426502</v>
      </c>
      <c r="N6" t="n">
        <v>1.569866397992257</v>
      </c>
      <c r="O6" t="n">
        <v>1.569866397992257</v>
      </c>
      <c r="P6" t="n">
        <v>3.938563297796986</v>
      </c>
      <c r="Q6" t="n">
        <v>5.552378782472735</v>
      </c>
      <c r="R6" t="n">
        <v>4.087804418321894</v>
      </c>
      <c r="S6">
        <f>Q6-P6</f>
        <v/>
      </c>
      <c r="T6">
        <f>Q6-Settings!$B$5</f>
        <v/>
      </c>
      <c r="U6">
        <f>0.5*(P6+T6)</f>
        <v/>
      </c>
      <c r="V6">
        <f>AVERAGE(K2:K6)</f>
        <v/>
      </c>
      <c r="W6">
        <f>AVERAGE(L2:L6)</f>
        <v/>
      </c>
      <c r="X6">
        <f>AVERAGE(P2:P6)</f>
        <v/>
      </c>
      <c r="Y6">
        <f>AVERAGE(T2:T6)</f>
        <v/>
      </c>
      <c r="Z6">
        <f>AVERAGE(U2:U6)</f>
        <v/>
      </c>
      <c r="AA6">
        <f>0.5*V6+0.5*X6</f>
        <v/>
      </c>
      <c r="AB6">
        <f>Settings!$B$3+Settings!$B$4*W6</f>
        <v/>
      </c>
      <c r="AC6">
        <f>Z6</f>
        <v/>
      </c>
      <c r="AD6">
        <f>0.5*V6+0.5*Z6</f>
        <v/>
      </c>
      <c r="AE6">
        <f>(X6+Y6+V6)/3</f>
        <v/>
      </c>
      <c r="AF6">
        <f>0.7*X6+0.3*V6</f>
        <v/>
      </c>
    </row>
    <row r="7">
      <c r="A7" t="inlineStr">
        <is>
          <t>1986-04-01</t>
        </is>
      </c>
      <c r="B7" t="n">
        <v>374986.8208095186</v>
      </c>
      <c r="C7" t="n">
        <v>206209.1262844186</v>
      </c>
      <c r="D7" t="n">
        <v>61.30760717920466</v>
      </c>
      <c r="E7" t="n">
        <v>5.483219631594068</v>
      </c>
      <c r="F7" t="n">
        <v>5.682692746799745</v>
      </c>
      <c r="G7" t="n">
        <v>7.286130626251735</v>
      </c>
      <c r="H7" t="n">
        <v>85.97586049206377</v>
      </c>
      <c r="I7" t="n">
        <v>1283.464615982701</v>
      </c>
      <c r="J7" t="n">
        <v>778.2579544067451</v>
      </c>
      <c r="K7" t="n">
        <v>3.963652327645832</v>
      </c>
      <c r="L7" t="n">
        <v>4.190962583651981</v>
      </c>
      <c r="M7" t="n">
        <v>1.195884790067794</v>
      </c>
      <c r="N7" t="n">
        <v>1.532708583686656</v>
      </c>
      <c r="O7" t="n">
        <v>1.532708583686656</v>
      </c>
      <c r="P7" t="n">
        <v>3.950511047907412</v>
      </c>
      <c r="Q7" t="n">
        <v>5.753422042565079</v>
      </c>
      <c r="R7" t="n">
        <v>4.149984163113089</v>
      </c>
      <c r="S7">
        <f>Q7-P7</f>
        <v/>
      </c>
      <c r="T7">
        <f>Q7-Settings!$B$5</f>
        <v/>
      </c>
      <c r="U7">
        <f>0.5*(P7+T7)</f>
        <v/>
      </c>
      <c r="V7">
        <f>AVERAGE(K2:K7)</f>
        <v/>
      </c>
      <c r="W7">
        <f>AVERAGE(L2:L7)</f>
        <v/>
      </c>
      <c r="X7">
        <f>AVERAGE(P2:P7)</f>
        <v/>
      </c>
      <c r="Y7">
        <f>AVERAGE(T2:T7)</f>
        <v/>
      </c>
      <c r="Z7">
        <f>AVERAGE(U2:U7)</f>
        <v/>
      </c>
      <c r="AA7">
        <f>0.5*V7+0.5*X7</f>
        <v/>
      </c>
      <c r="AB7">
        <f>Settings!$B$3+Settings!$B$4*W7</f>
        <v/>
      </c>
      <c r="AC7">
        <f>Z7</f>
        <v/>
      </c>
      <c r="AD7">
        <f>0.5*V7+0.5*Z7</f>
        <v/>
      </c>
      <c r="AE7">
        <f>(X7+Y7+V7)/3</f>
        <v/>
      </c>
      <c r="AF7">
        <f>0.7*X7+0.3*V7</f>
        <v/>
      </c>
    </row>
    <row r="8">
      <c r="A8" t="inlineStr">
        <is>
          <t>1986-07-01</t>
        </is>
      </c>
      <c r="B8" t="n">
        <v>380440.5245974062</v>
      </c>
      <c r="C8" t="n">
        <v>208694.968494735</v>
      </c>
      <c r="D8" t="n">
        <v>61.53945534008683</v>
      </c>
      <c r="E8" t="n">
        <v>5.300459400243801</v>
      </c>
      <c r="F8" t="n">
        <v>5.473386707400025</v>
      </c>
      <c r="G8" t="n">
        <v>7.10355112804707</v>
      </c>
      <c r="H8" t="n">
        <v>86.04352778047098</v>
      </c>
      <c r="I8" t="n">
        <v>1284.908513551821</v>
      </c>
      <c r="J8" t="n">
        <v>779.3775678789266</v>
      </c>
      <c r="K8" t="n">
        <v>5.775590276480216</v>
      </c>
      <c r="L8" t="n">
        <v>4.478453888726108</v>
      </c>
      <c r="M8" t="n">
        <v>1.509834627862801</v>
      </c>
      <c r="N8" t="n">
        <v>1.421825108156611</v>
      </c>
      <c r="O8" t="n">
        <v>1.421825108156611</v>
      </c>
      <c r="P8" t="n">
        <v>3.87863429208719</v>
      </c>
      <c r="Q8" t="n">
        <v>5.681726019890459</v>
      </c>
      <c r="R8" t="n">
        <v>4.051561599243414</v>
      </c>
      <c r="S8">
        <f>Q8-P8</f>
        <v/>
      </c>
      <c r="T8">
        <f>Q8-Settings!$B$5</f>
        <v/>
      </c>
      <c r="U8">
        <f>0.5*(P8+T8)</f>
        <v/>
      </c>
      <c r="V8">
        <f>AVERAGE(K2:K8)</f>
        <v/>
      </c>
      <c r="W8">
        <f>AVERAGE(L2:L8)</f>
        <v/>
      </c>
      <c r="X8">
        <f>AVERAGE(P2:P8)</f>
        <v/>
      </c>
      <c r="Y8">
        <f>AVERAGE(T2:T8)</f>
        <v/>
      </c>
      <c r="Z8">
        <f>AVERAGE(U2:U8)</f>
        <v/>
      </c>
      <c r="AA8">
        <f>0.5*V8+0.5*X8</f>
        <v/>
      </c>
      <c r="AB8">
        <f>Settings!$B$3+Settings!$B$4*W8</f>
        <v/>
      </c>
      <c r="AC8">
        <f>Z8</f>
        <v/>
      </c>
      <c r="AD8">
        <f>0.5*V8+0.5*Z8</f>
        <v/>
      </c>
      <c r="AE8">
        <f>(X8+Y8+V8)/3</f>
        <v/>
      </c>
      <c r="AF8">
        <f>0.7*X8+0.3*V8</f>
        <v/>
      </c>
    </row>
    <row r="9">
      <c r="A9" t="inlineStr">
        <is>
          <t>1986-10-01</t>
        </is>
      </c>
      <c r="B9" t="n">
        <v>385501.2493914145</v>
      </c>
      <c r="C9" t="n">
        <v>212404.3399379488</v>
      </c>
      <c r="D9" t="n">
        <v>61.71432644891038</v>
      </c>
      <c r="E9" t="n">
        <v>5.22524695848864</v>
      </c>
      <c r="F9" t="n">
        <v>5.414976730328724</v>
      </c>
      <c r="G9" t="n">
        <v>7.013485872946127</v>
      </c>
      <c r="H9" t="n">
        <v>86.07396372553372</v>
      </c>
      <c r="I9" t="n">
        <v>1286.229971294373</v>
      </c>
      <c r="J9" t="n">
        <v>781.1040031045713</v>
      </c>
      <c r="K9" t="n">
        <v>5.285830970206916</v>
      </c>
      <c r="L9" t="n">
        <v>6.905740902579055</v>
      </c>
      <c r="M9" t="n">
        <v>1.135031955185923</v>
      </c>
      <c r="N9" t="n">
        <v>1.282768061135755</v>
      </c>
      <c r="O9" t="n">
        <v>1.282768061135755</v>
      </c>
      <c r="P9" t="n">
        <v>3.942478897352885</v>
      </c>
      <c r="Q9" t="n">
        <v>5.730717811810372</v>
      </c>
      <c r="R9" t="n">
        <v>4.132208669192969</v>
      </c>
      <c r="S9">
        <f>Q9-P9</f>
        <v/>
      </c>
      <c r="T9">
        <f>Q9-Settings!$B$5</f>
        <v/>
      </c>
      <c r="U9">
        <f>0.5*(P9+T9)</f>
        <v/>
      </c>
      <c r="V9">
        <f>AVERAGE(K2:K9)</f>
        <v/>
      </c>
      <c r="W9">
        <f>AVERAGE(L2:L9)</f>
        <v/>
      </c>
      <c r="X9">
        <f>AVERAGE(P2:P9)</f>
        <v/>
      </c>
      <c r="Y9">
        <f>AVERAGE(T2:T9)</f>
        <v/>
      </c>
      <c r="Z9">
        <f>AVERAGE(U2:U9)</f>
        <v/>
      </c>
      <c r="AA9">
        <f>0.5*V9+0.5*X9</f>
        <v/>
      </c>
      <c r="AB9">
        <f>Settings!$B$3+Settings!$B$4*W9</f>
        <v/>
      </c>
      <c r="AC9">
        <f>Z9</f>
        <v/>
      </c>
      <c r="AD9">
        <f>0.5*V9+0.5*Z9</f>
        <v/>
      </c>
      <c r="AE9">
        <f>(X9+Y9+V9)/3</f>
        <v/>
      </c>
      <c r="AF9">
        <f>0.7*X9+0.3*V9</f>
        <v/>
      </c>
    </row>
    <row r="10">
      <c r="A10" t="inlineStr">
        <is>
          <t>1987-01-01</t>
        </is>
      </c>
      <c r="B10" t="n">
        <v>390967.7350989221</v>
      </c>
      <c r="C10" t="n">
        <v>214641.2657052367</v>
      </c>
      <c r="D10" t="n">
        <v>61.91501655392217</v>
      </c>
      <c r="E10" t="n">
        <v>5.268193111490696</v>
      </c>
      <c r="F10" t="n">
        <v>5.465745478400143</v>
      </c>
      <c r="G10" t="n">
        <v>7.189612094383546</v>
      </c>
      <c r="H10" t="n">
        <v>86.08971850273002</v>
      </c>
      <c r="I10" t="n">
        <v>1287.638031663404</v>
      </c>
      <c r="J10" t="n">
        <v>782.1333391094723</v>
      </c>
      <c r="K10" t="n">
        <v>5.632241476123454</v>
      </c>
      <c r="L10" t="n">
        <v>4.117344019603934</v>
      </c>
      <c r="M10" t="n">
        <v>1.298657916780712</v>
      </c>
      <c r="N10" t="n">
        <v>1.284852322474308</v>
      </c>
      <c r="O10" t="n">
        <v>1.284852322474308</v>
      </c>
      <c r="P10" t="n">
        <v>3.983340789016388</v>
      </c>
      <c r="Q10" t="n">
        <v>5.904759771909238</v>
      </c>
      <c r="R10" t="n">
        <v>4.180893155925835</v>
      </c>
      <c r="S10">
        <f>Q10-P10</f>
        <v/>
      </c>
      <c r="T10">
        <f>Q10-Settings!$B$5</f>
        <v/>
      </c>
      <c r="U10">
        <f>0.5*(P10+T10)</f>
        <v/>
      </c>
      <c r="V10">
        <f>AVERAGE(K2:K10)</f>
        <v/>
      </c>
      <c r="W10">
        <f>AVERAGE(L2:L10)</f>
        <v/>
      </c>
      <c r="X10">
        <f>AVERAGE(P2:P10)</f>
        <v/>
      </c>
      <c r="Y10">
        <f>AVERAGE(T2:T10)</f>
        <v/>
      </c>
      <c r="Z10">
        <f>AVERAGE(U2:U10)</f>
        <v/>
      </c>
      <c r="AA10">
        <f>0.5*V10+0.5*X10</f>
        <v/>
      </c>
      <c r="AB10">
        <f>Settings!$B$3+Settings!$B$4*W10</f>
        <v/>
      </c>
      <c r="AC10">
        <f>Z10</f>
        <v/>
      </c>
      <c r="AD10">
        <f>0.5*V10+0.5*Z10</f>
        <v/>
      </c>
      <c r="AE10">
        <f>(X10+Y10+V10)/3</f>
        <v/>
      </c>
      <c r="AF10">
        <f>0.7*X10+0.3*V10</f>
        <v/>
      </c>
    </row>
    <row r="11">
      <c r="A11" t="inlineStr">
        <is>
          <t>1987-04-01</t>
        </is>
      </c>
      <c r="B11" t="n">
        <v>395448.9428646595</v>
      </c>
      <c r="C11" t="n">
        <v>216433.2660351956</v>
      </c>
      <c r="D11" t="n">
        <v>62.16217844013251</v>
      </c>
      <c r="E11" t="n">
        <v>5.144759249098584</v>
      </c>
      <c r="F11" t="n">
        <v>5.293589682618118</v>
      </c>
      <c r="G11" t="n">
        <v>6.67747580578829</v>
      </c>
      <c r="H11" t="n">
        <v>86.0657403935753</v>
      </c>
      <c r="I11" t="n">
        <v>1288.777696269746</v>
      </c>
      <c r="J11" t="n">
        <v>782.9926111474745</v>
      </c>
      <c r="K11" t="n">
        <v>4.558658425367867</v>
      </c>
      <c r="L11" t="n">
        <v>3.437088152008528</v>
      </c>
      <c r="M11" t="n">
        <v>1.593602841465554</v>
      </c>
      <c r="N11" t="n">
        <v>1.384281835323748</v>
      </c>
      <c r="O11" t="n">
        <v>1.384281835323748</v>
      </c>
      <c r="P11" t="n">
        <v>3.760477413774836</v>
      </c>
      <c r="Q11" t="n">
        <v>5.293193970464542</v>
      </c>
      <c r="R11" t="n">
        <v>3.909307847294371</v>
      </c>
      <c r="S11">
        <f>Q11-P11</f>
        <v/>
      </c>
      <c r="T11">
        <f>Q11-Settings!$B$5</f>
        <v/>
      </c>
      <c r="U11">
        <f>0.5*(P11+T11)</f>
        <v/>
      </c>
      <c r="V11">
        <f>AVERAGE(K2:K11)</f>
        <v/>
      </c>
      <c r="W11">
        <f>AVERAGE(L2:L11)</f>
        <v/>
      </c>
      <c r="X11">
        <f>AVERAGE(P2:P11)</f>
        <v/>
      </c>
      <c r="Y11">
        <f>AVERAGE(T2:T11)</f>
        <v/>
      </c>
      <c r="Z11">
        <f>AVERAGE(U2:U11)</f>
        <v/>
      </c>
      <c r="AA11">
        <f>0.5*V11+0.5*X11</f>
        <v/>
      </c>
      <c r="AB11">
        <f>Settings!$B$3+Settings!$B$4*W11</f>
        <v/>
      </c>
      <c r="AC11">
        <f>Z11</f>
        <v/>
      </c>
      <c r="AD11">
        <f>0.5*V11+0.5*Z11</f>
        <v/>
      </c>
      <c r="AE11">
        <f>(X11+Y11+V11)/3</f>
        <v/>
      </c>
      <c r="AF11">
        <f>0.7*X11+0.3*V11</f>
        <v/>
      </c>
    </row>
    <row r="12">
      <c r="A12" t="inlineStr">
        <is>
          <t>1987-07-01</t>
        </is>
      </c>
      <c r="B12" t="n">
        <v>401938.9657541627</v>
      </c>
      <c r="C12" t="n">
        <v>219939.2780864801</v>
      </c>
      <c r="D12" t="n">
        <v>62.44981256231903</v>
      </c>
      <c r="E12" t="n">
        <v>4.96402598833576</v>
      </c>
      <c r="F12" t="n">
        <v>5.11555623815614</v>
      </c>
      <c r="G12" t="n">
        <v>6.803619375778842</v>
      </c>
      <c r="H12" t="n">
        <v>85.99451329091849</v>
      </c>
      <c r="I12" t="n">
        <v>1290.405552959217</v>
      </c>
      <c r="J12" t="n">
        <v>784.6823283263809</v>
      </c>
      <c r="K12" t="n">
        <v>6.511426757883783</v>
      </c>
      <c r="L12" t="n">
        <v>6.758868715625795</v>
      </c>
      <c r="M12" t="n">
        <v>1.84659361083186</v>
      </c>
      <c r="N12" t="n">
        <v>1.468471581066012</v>
      </c>
      <c r="O12" t="n">
        <v>1.468471581066012</v>
      </c>
      <c r="P12" t="n">
        <v>3.495554407269748</v>
      </c>
      <c r="Q12" t="n">
        <v>5.33514779471283</v>
      </c>
      <c r="R12" t="n">
        <v>3.647084657090128</v>
      </c>
      <c r="S12">
        <f>Q12-P12</f>
        <v/>
      </c>
      <c r="T12">
        <f>Q12-Settings!$B$5</f>
        <v/>
      </c>
      <c r="U12">
        <f>0.5*(P12+T12)</f>
        <v/>
      </c>
      <c r="V12">
        <f>AVERAGE(K2:K12)</f>
        <v/>
      </c>
      <c r="W12">
        <f>AVERAGE(L2:L12)</f>
        <v/>
      </c>
      <c r="X12">
        <f>AVERAGE(P2:P12)</f>
        <v/>
      </c>
      <c r="Y12">
        <f>AVERAGE(T2:T12)</f>
        <v/>
      </c>
      <c r="Z12">
        <f>AVERAGE(U2:U12)</f>
        <v/>
      </c>
      <c r="AA12">
        <f>0.5*V12+0.5*X12</f>
        <v/>
      </c>
      <c r="AB12">
        <f>Settings!$B$3+Settings!$B$4*W12</f>
        <v/>
      </c>
      <c r="AC12">
        <f>Z12</f>
        <v/>
      </c>
      <c r="AD12">
        <f>0.5*V12+0.5*Z12</f>
        <v/>
      </c>
      <c r="AE12">
        <f>(X12+Y12+V12)/3</f>
        <v/>
      </c>
      <c r="AF12">
        <f>0.7*X12+0.3*V12</f>
        <v/>
      </c>
    </row>
    <row r="13">
      <c r="A13" t="inlineStr">
        <is>
          <t>1987-10-01</t>
        </is>
      </c>
      <c r="B13" t="n">
        <v>408228.3121469437</v>
      </c>
      <c r="C13" t="n">
        <v>224680.6267995081</v>
      </c>
      <c r="D13" t="n">
        <v>62.71306544710004</v>
      </c>
      <c r="E13" t="n">
        <v>4.824874827197956</v>
      </c>
      <c r="F13" t="n">
        <v>5.039336832263722</v>
      </c>
      <c r="G13" t="n">
        <v>6.781018647378313</v>
      </c>
      <c r="H13" t="n">
        <v>86.01763600815131</v>
      </c>
      <c r="I13" t="n">
        <v>1291.958188547044</v>
      </c>
      <c r="J13" t="n">
        <v>786.7882891293922</v>
      </c>
      <c r="K13" t="n">
        <v>6.210542351306685</v>
      </c>
      <c r="L13" t="n">
        <v>8.423843212045085</v>
      </c>
      <c r="M13" t="n">
        <v>1.682628441667475</v>
      </c>
      <c r="N13" t="n">
        <v>1.6053707026864</v>
      </c>
      <c r="O13" t="n">
        <v>1.6053707026864</v>
      </c>
      <c r="P13" t="n">
        <v>3.219504124511555</v>
      </c>
      <c r="Q13" t="n">
        <v>5.175647944691913</v>
      </c>
      <c r="R13" t="n">
        <v>3.433966129577321</v>
      </c>
      <c r="S13">
        <f>Q13-P13</f>
        <v/>
      </c>
      <c r="T13">
        <f>Q13-Settings!$B$5</f>
        <v/>
      </c>
      <c r="U13">
        <f>0.5*(P13+T13)</f>
        <v/>
      </c>
      <c r="V13">
        <f>AVERAGE(K2:K13)</f>
        <v/>
      </c>
      <c r="W13">
        <f>AVERAGE(L2:L13)</f>
        <v/>
      </c>
      <c r="X13">
        <f>AVERAGE(P2:P13)</f>
        <v/>
      </c>
      <c r="Y13">
        <f>AVERAGE(T2:T13)</f>
        <v/>
      </c>
      <c r="Z13">
        <f>AVERAGE(U2:U13)</f>
        <v/>
      </c>
      <c r="AA13">
        <f>0.5*V13+0.5*X13</f>
        <v/>
      </c>
      <c r="AB13">
        <f>Settings!$B$3+Settings!$B$4*W13</f>
        <v/>
      </c>
      <c r="AC13">
        <f>Z13</f>
        <v/>
      </c>
      <c r="AD13">
        <f>0.5*V13+0.5*Z13</f>
        <v/>
      </c>
      <c r="AE13">
        <f>(X13+Y13+V13)/3</f>
        <v/>
      </c>
      <c r="AF13">
        <f>0.7*X13+0.3*V13</f>
        <v/>
      </c>
    </row>
    <row r="14">
      <c r="A14" t="inlineStr">
        <is>
          <t>1988-01-01</t>
        </is>
      </c>
      <c r="B14" t="n">
        <v>413497.5551782973</v>
      </c>
      <c r="C14" t="n">
        <v>228864.692437824</v>
      </c>
      <c r="D14" t="n">
        <v>62.8405986008782</v>
      </c>
      <c r="E14" t="n">
        <v>4.651773558107918</v>
      </c>
      <c r="F14" t="n">
        <v>4.836091997222828</v>
      </c>
      <c r="G14" t="n">
        <v>6.338995481618746</v>
      </c>
      <c r="H14" t="n">
        <v>86.03834114358921</v>
      </c>
      <c r="I14" t="n">
        <v>1293.240688092126</v>
      </c>
      <c r="J14" t="n">
        <v>788.609322103818</v>
      </c>
      <c r="K14" t="n">
        <v>5.129998180330404</v>
      </c>
      <c r="L14" t="n">
        <v>7.284131897703446</v>
      </c>
      <c r="M14" t="n">
        <v>0.8126131474205067</v>
      </c>
      <c r="N14" t="n">
        <v>1.483859510346349</v>
      </c>
      <c r="O14" t="n">
        <v>1.483859510346349</v>
      </c>
      <c r="P14" t="n">
        <v>3.167914047761569</v>
      </c>
      <c r="Q14" t="n">
        <v>4.855135971272397</v>
      </c>
      <c r="R14" t="n">
        <v>3.352232486876479</v>
      </c>
      <c r="S14">
        <f>Q14-P14</f>
        <v/>
      </c>
      <c r="T14">
        <f>Q14-Settings!$B$5</f>
        <v/>
      </c>
      <c r="U14">
        <f>0.5*(P14+T14)</f>
        <v/>
      </c>
      <c r="V14">
        <f>AVERAGE(K2:K14)</f>
        <v/>
      </c>
      <c r="W14">
        <f>AVERAGE(L2:L14)</f>
        <v/>
      </c>
      <c r="X14">
        <f>AVERAGE(P2:P14)</f>
        <v/>
      </c>
      <c r="Y14">
        <f>AVERAGE(T2:T14)</f>
        <v/>
      </c>
      <c r="Z14">
        <f>AVERAGE(U2:U14)</f>
        <v/>
      </c>
      <c r="AA14">
        <f>0.5*V14+0.5*X14</f>
        <v/>
      </c>
      <c r="AB14">
        <f>Settings!$B$3+Settings!$B$4*W14</f>
        <v/>
      </c>
      <c r="AC14">
        <f>Z14</f>
        <v/>
      </c>
      <c r="AD14">
        <f>0.5*V14+0.5*Z14</f>
        <v/>
      </c>
      <c r="AE14">
        <f>(X14+Y14+V14)/3</f>
        <v/>
      </c>
      <c r="AF14">
        <f>0.7*X14+0.3*V14</f>
        <v/>
      </c>
    </row>
    <row r="15">
      <c r="A15" t="inlineStr">
        <is>
          <t>1988-04-01</t>
        </is>
      </c>
      <c r="B15" t="n">
        <v>419890.2541495987</v>
      </c>
      <c r="C15" t="n">
        <v>231087.4807062768</v>
      </c>
      <c r="D15" t="n">
        <v>63.09109372509206</v>
      </c>
      <c r="E15" t="n">
        <v>4.672825224603368</v>
      </c>
      <c r="F15" t="n">
        <v>4.795882894348751</v>
      </c>
      <c r="G15" t="n">
        <v>6.434844573424379</v>
      </c>
      <c r="H15" t="n">
        <v>86.00605889746497</v>
      </c>
      <c r="I15" t="n">
        <v>1294.774865647104</v>
      </c>
      <c r="J15" t="n">
        <v>789.6133876101746</v>
      </c>
      <c r="K15" t="n">
        <v>6.136710219910128</v>
      </c>
      <c r="L15" t="n">
        <v>4.016262025426386</v>
      </c>
      <c r="M15" t="n">
        <v>1.591310018709237</v>
      </c>
      <c r="N15" t="n">
        <v>1.48328630465727</v>
      </c>
      <c r="O15" t="n">
        <v>1.48328630465727</v>
      </c>
      <c r="P15" t="n">
        <v>3.189538919946099</v>
      </c>
      <c r="Q15" t="n">
        <v>4.951558268767109</v>
      </c>
      <c r="R15" t="n">
        <v>3.312596589691482</v>
      </c>
      <c r="S15">
        <f>Q15-P15</f>
        <v/>
      </c>
      <c r="T15">
        <f>Q15-Settings!$B$5</f>
        <v/>
      </c>
      <c r="U15">
        <f>0.5*(P15+T15)</f>
        <v/>
      </c>
      <c r="V15">
        <f>AVERAGE(K2:K15)</f>
        <v/>
      </c>
      <c r="W15">
        <f>AVERAGE(L2:L15)</f>
        <v/>
      </c>
      <c r="X15">
        <f>AVERAGE(P2:P15)</f>
        <v/>
      </c>
      <c r="Y15">
        <f>AVERAGE(T2:T15)</f>
        <v/>
      </c>
      <c r="Z15">
        <f>AVERAGE(U2:U15)</f>
        <v/>
      </c>
      <c r="AA15">
        <f>0.5*V15+0.5*X15</f>
        <v/>
      </c>
      <c r="AB15">
        <f>Settings!$B$3+Settings!$B$4*W15</f>
        <v/>
      </c>
      <c r="AC15">
        <f>Z15</f>
        <v/>
      </c>
      <c r="AD15">
        <f>0.5*V15+0.5*Z15</f>
        <v/>
      </c>
      <c r="AE15">
        <f>(X15+Y15+V15)/3</f>
        <v/>
      </c>
      <c r="AF15">
        <f>0.7*X15+0.3*V15</f>
        <v/>
      </c>
    </row>
    <row r="16">
      <c r="A16" t="inlineStr">
        <is>
          <t>1988-07-01</t>
        </is>
      </c>
      <c r="B16" t="n">
        <v>425221.4774339255</v>
      </c>
      <c r="C16" t="n">
        <v>233760.8542770788</v>
      </c>
      <c r="D16" t="n">
        <v>63.33155089685594</v>
      </c>
      <c r="E16" t="n">
        <v>4.72102075061237</v>
      </c>
      <c r="F16" t="n">
        <v>4.944566071710614</v>
      </c>
      <c r="G16" t="n">
        <v>6.445731558889507</v>
      </c>
      <c r="H16" t="n">
        <v>86.00653820939557</v>
      </c>
      <c r="I16" t="n">
        <v>1296.036543554286</v>
      </c>
      <c r="J16" t="n">
        <v>790.7630562428459</v>
      </c>
      <c r="K16" t="n">
        <v>5.046711628730918</v>
      </c>
      <c r="L16" t="n">
        <v>4.598674530685003</v>
      </c>
      <c r="M16" t="n">
        <v>1.521610071969462</v>
      </c>
      <c r="N16" t="n">
        <v>1.40204041994167</v>
      </c>
      <c r="O16" t="n">
        <v>1.40204041994167</v>
      </c>
      <c r="P16" t="n">
        <v>3.3189803306707</v>
      </c>
      <c r="Q16" t="n">
        <v>5.043691138947837</v>
      </c>
      <c r="R16" t="n">
        <v>3.542525651768944</v>
      </c>
      <c r="S16">
        <f>Q16-P16</f>
        <v/>
      </c>
      <c r="T16">
        <f>Q16-Settings!$B$5</f>
        <v/>
      </c>
      <c r="U16">
        <f>0.5*(P16+T16)</f>
        <v/>
      </c>
      <c r="V16">
        <f>AVERAGE(K2:K16)</f>
        <v/>
      </c>
      <c r="W16">
        <f>AVERAGE(L2:L16)</f>
        <v/>
      </c>
      <c r="X16">
        <f>AVERAGE(P2:P16)</f>
        <v/>
      </c>
      <c r="Y16">
        <f>AVERAGE(T2:T16)</f>
        <v/>
      </c>
      <c r="Z16">
        <f>AVERAGE(U2:U16)</f>
        <v/>
      </c>
      <c r="AA16">
        <f>0.5*V16+0.5*X16</f>
        <v/>
      </c>
      <c r="AB16">
        <f>Settings!$B$3+Settings!$B$4*W16</f>
        <v/>
      </c>
      <c r="AC16">
        <f>Z16</f>
        <v/>
      </c>
      <c r="AD16">
        <f>0.5*V16+0.5*Z16</f>
        <v/>
      </c>
      <c r="AE16">
        <f>(X16+Y16+V16)/3</f>
        <v/>
      </c>
      <c r="AF16">
        <f>0.7*X16+0.3*V16</f>
        <v/>
      </c>
    </row>
    <row r="17">
      <c r="A17" t="inlineStr">
        <is>
          <t>1988-10-01</t>
        </is>
      </c>
      <c r="B17" t="n">
        <v>428566.8272312802</v>
      </c>
      <c r="C17" t="n">
        <v>235981.3994146256</v>
      </c>
      <c r="D17" t="n">
        <v>63.58922622869126</v>
      </c>
      <c r="E17" t="n">
        <v>4.521744213573182</v>
      </c>
      <c r="F17" t="n">
        <v>4.729915306231409</v>
      </c>
      <c r="G17" t="n">
        <v>6.232309608965429</v>
      </c>
      <c r="H17" t="n">
        <v>86.04118765659381</v>
      </c>
      <c r="I17" t="n">
        <v>1296.820196105909</v>
      </c>
      <c r="J17" t="n">
        <v>791.6682157017474</v>
      </c>
      <c r="K17" t="n">
        <v>3.134610206489924</v>
      </c>
      <c r="L17" t="n">
        <v>3.620637835605976</v>
      </c>
      <c r="M17" t="n">
        <v>1.624167085611816</v>
      </c>
      <c r="N17" t="n">
        <v>1.387425080927756</v>
      </c>
      <c r="O17" t="n">
        <v>1.387425080927756</v>
      </c>
      <c r="P17" t="n">
        <v>3.134319132645427</v>
      </c>
      <c r="Q17" t="n">
        <v>4.844884528037674</v>
      </c>
      <c r="R17" t="n">
        <v>3.342490225303654</v>
      </c>
      <c r="S17">
        <f>Q17-P17</f>
        <v/>
      </c>
      <c r="T17">
        <f>Q17-Settings!$B$5</f>
        <v/>
      </c>
      <c r="U17">
        <f>0.5*(P17+T17)</f>
        <v/>
      </c>
      <c r="V17">
        <f>AVERAGE(K2:K17)</f>
        <v/>
      </c>
      <c r="W17">
        <f>AVERAGE(L2:L17)</f>
        <v/>
      </c>
      <c r="X17">
        <f>AVERAGE(P2:P17)</f>
        <v/>
      </c>
      <c r="Y17">
        <f>AVERAGE(T2:T17)</f>
        <v/>
      </c>
      <c r="Z17">
        <f>AVERAGE(U2:U17)</f>
        <v/>
      </c>
      <c r="AA17">
        <f>0.5*V17+0.5*X17</f>
        <v/>
      </c>
      <c r="AB17">
        <f>Settings!$B$3+Settings!$B$4*W17</f>
        <v/>
      </c>
      <c r="AC17">
        <f>Z17</f>
        <v/>
      </c>
      <c r="AD17">
        <f>0.5*V17+0.5*Z17</f>
        <v/>
      </c>
      <c r="AE17">
        <f>(X17+Y17+V17)/3</f>
        <v/>
      </c>
      <c r="AF17">
        <f>0.7*X17+0.3*V17</f>
        <v/>
      </c>
    </row>
    <row r="18">
      <c r="A18" t="inlineStr">
        <is>
          <t>1989-01-01</t>
        </is>
      </c>
      <c r="B18" t="n">
        <v>433174.4196381723</v>
      </c>
      <c r="C18" t="n">
        <v>239493.7857669806</v>
      </c>
      <c r="D18" t="n">
        <v>63.90555014479692</v>
      </c>
      <c r="E18" t="n">
        <v>4.372021385697526</v>
      </c>
      <c r="F18" t="n">
        <v>4.550605140976431</v>
      </c>
      <c r="G18" t="n">
        <v>6.139395185195221</v>
      </c>
      <c r="H18" t="n">
        <v>85.9970358676987</v>
      </c>
      <c r="I18" t="n">
        <v>1297.889574259209</v>
      </c>
      <c r="J18" t="n">
        <v>793.1969919798441</v>
      </c>
      <c r="K18" t="n">
        <v>4.277512613199178</v>
      </c>
      <c r="L18" t="n">
        <v>6.115105112387027</v>
      </c>
      <c r="M18" t="n">
        <v>1.984862904495458</v>
      </c>
      <c r="N18" t="n">
        <v>1.680487520196493</v>
      </c>
      <c r="O18" t="n">
        <v>1.680487520196493</v>
      </c>
      <c r="P18" t="n">
        <v>2.691533865501032</v>
      </c>
      <c r="Q18" t="n">
        <v>4.458907664998728</v>
      </c>
      <c r="R18" t="n">
        <v>2.870117620779938</v>
      </c>
      <c r="S18">
        <f>Q18-P18</f>
        <v/>
      </c>
      <c r="T18">
        <f>Q18-Settings!$B$5</f>
        <v/>
      </c>
      <c r="U18">
        <f>0.5*(P18+T18)</f>
        <v/>
      </c>
      <c r="V18">
        <f>AVERAGE(K2:K18)</f>
        <v/>
      </c>
      <c r="W18">
        <f>AVERAGE(L2:L18)</f>
        <v/>
      </c>
      <c r="X18">
        <f>AVERAGE(P2:P18)</f>
        <v/>
      </c>
      <c r="Y18">
        <f>AVERAGE(T2:T18)</f>
        <v/>
      </c>
      <c r="Z18">
        <f>AVERAGE(U2:U18)</f>
        <v/>
      </c>
      <c r="AA18">
        <f>0.5*V18+0.5*X18</f>
        <v/>
      </c>
      <c r="AB18">
        <f>Settings!$B$3+Settings!$B$4*W18</f>
        <v/>
      </c>
      <c r="AC18">
        <f>Z18</f>
        <v/>
      </c>
      <c r="AD18">
        <f>0.5*V18+0.5*Z18</f>
        <v/>
      </c>
      <c r="AE18">
        <f>(X18+Y18+V18)/3</f>
        <v/>
      </c>
      <c r="AF18">
        <f>0.7*X18+0.3*V18</f>
        <v/>
      </c>
    </row>
    <row r="19">
      <c r="A19" t="inlineStr">
        <is>
          <t>1989-04-01</t>
        </is>
      </c>
      <c r="B19" t="n">
        <v>435731.2036839406</v>
      </c>
      <c r="C19" t="n">
        <v>239862.5562893558</v>
      </c>
      <c r="D19" t="n">
        <v>64.0464618019888</v>
      </c>
      <c r="E19" t="n">
        <v>4.323254010475015</v>
      </c>
      <c r="F19" t="n">
        <v>4.483749104143268</v>
      </c>
      <c r="G19" t="n">
        <v>6.266002538843465</v>
      </c>
      <c r="H19" t="n">
        <v>85.96353565318131</v>
      </c>
      <c r="I19" t="n">
        <v>1298.478082690157</v>
      </c>
      <c r="J19" t="n">
        <v>793.3898153845796</v>
      </c>
      <c r="K19" t="n">
        <v>2.354033723791872</v>
      </c>
      <c r="L19" t="n">
        <v>0.7712936189418542</v>
      </c>
      <c r="M19" t="n">
        <v>0.8810285169583949</v>
      </c>
      <c r="N19" t="n">
        <v>1.502917144758783</v>
      </c>
      <c r="O19" t="n">
        <v>1.502917144758783</v>
      </c>
      <c r="P19" t="n">
        <v>2.820336865716232</v>
      </c>
      <c r="Q19" t="n">
        <v>4.763085394084682</v>
      </c>
      <c r="R19" t="n">
        <v>2.980831959384485</v>
      </c>
      <c r="S19">
        <f>Q19-P19</f>
        <v/>
      </c>
      <c r="T19">
        <f>Q19-Settings!$B$5</f>
        <v/>
      </c>
      <c r="U19">
        <f>0.5*(P19+T19)</f>
        <v/>
      </c>
      <c r="V19">
        <f>AVERAGE(K2:K19)</f>
        <v/>
      </c>
      <c r="W19">
        <f>AVERAGE(L2:L19)</f>
        <v/>
      </c>
      <c r="X19">
        <f>AVERAGE(P2:P19)</f>
        <v/>
      </c>
      <c r="Y19">
        <f>AVERAGE(T2:T19)</f>
        <v/>
      </c>
      <c r="Z19">
        <f>AVERAGE(U2:U19)</f>
        <v/>
      </c>
      <c r="AA19">
        <f>0.5*V19+0.5*X19</f>
        <v/>
      </c>
      <c r="AB19">
        <f>Settings!$B$3+Settings!$B$4*W19</f>
        <v/>
      </c>
      <c r="AC19">
        <f>Z19</f>
        <v/>
      </c>
      <c r="AD19">
        <f>0.5*V19+0.5*Z19</f>
        <v/>
      </c>
      <c r="AE19">
        <f>(X19+Y19+V19)/3</f>
        <v/>
      </c>
      <c r="AF19">
        <f>0.7*X19+0.3*V19</f>
        <v/>
      </c>
    </row>
    <row r="20">
      <c r="A20" t="inlineStr">
        <is>
          <t>1989-07-01</t>
        </is>
      </c>
      <c r="B20" t="n">
        <v>440374.7253112237</v>
      </c>
      <c r="C20" t="n">
        <v>241808.3096095723</v>
      </c>
      <c r="D20" t="n">
        <v>64.25859300244724</v>
      </c>
      <c r="E20" t="n">
        <v>4.121952082350278</v>
      </c>
      <c r="F20" t="n">
        <v>4.347026319239708</v>
      </c>
      <c r="G20" t="n">
        <v>6.10569074989903</v>
      </c>
      <c r="H20" t="n">
        <v>85.9792763467082</v>
      </c>
      <c r="I20" t="n">
        <v>1299.538129188229</v>
      </c>
      <c r="J20" t="n">
        <v>794.1794287701107</v>
      </c>
      <c r="K20" t="n">
        <v>4.240185992287479</v>
      </c>
      <c r="L20" t="n">
        <v>3.158453542124334</v>
      </c>
      <c r="M20" t="n">
        <v>1.322668972443125</v>
      </c>
      <c r="N20" t="n">
        <v>1.453181869877199</v>
      </c>
      <c r="O20" t="n">
        <v>1.453181869877199</v>
      </c>
      <c r="P20" t="n">
        <v>2.668770212473079</v>
      </c>
      <c r="Q20" t="n">
        <v>4.652508880021831</v>
      </c>
      <c r="R20" t="n">
        <v>2.89384444936251</v>
      </c>
      <c r="S20">
        <f>Q20-P20</f>
        <v/>
      </c>
      <c r="T20">
        <f>Q20-Settings!$B$5</f>
        <v/>
      </c>
      <c r="U20">
        <f>0.5*(P20+T20)</f>
        <v/>
      </c>
      <c r="V20">
        <f>AVERAGE(K2:K20)</f>
        <v/>
      </c>
      <c r="W20">
        <f>AVERAGE(L2:L20)</f>
        <v/>
      </c>
      <c r="X20">
        <f>AVERAGE(P2:P20)</f>
        <v/>
      </c>
      <c r="Y20">
        <f>AVERAGE(T2:T20)</f>
        <v/>
      </c>
      <c r="Z20">
        <f>AVERAGE(U2:U20)</f>
        <v/>
      </c>
      <c r="AA20">
        <f>0.5*V20+0.5*X20</f>
        <v/>
      </c>
      <c r="AB20">
        <f>Settings!$B$3+Settings!$B$4*W20</f>
        <v/>
      </c>
      <c r="AC20">
        <f>Z20</f>
        <v/>
      </c>
      <c r="AD20">
        <f>0.5*V20+0.5*Z20</f>
        <v/>
      </c>
      <c r="AE20">
        <f>(X20+Y20+V20)/3</f>
        <v/>
      </c>
      <c r="AF20">
        <f>0.7*X20+0.3*V20</f>
        <v/>
      </c>
    </row>
    <row r="21">
      <c r="A21" t="inlineStr">
        <is>
          <t>1989-10-01</t>
        </is>
      </c>
      <c r="B21" t="n">
        <v>443501.3884154679</v>
      </c>
      <c r="C21" t="n">
        <v>245007.5647054049</v>
      </c>
      <c r="D21" t="n">
        <v>64.52860654490703</v>
      </c>
      <c r="E21" t="n">
        <v>4.085133831865118</v>
      </c>
      <c r="F21" t="n">
        <v>4.295614350541931</v>
      </c>
      <c r="G21" t="n">
        <v>5.851539909361103</v>
      </c>
      <c r="H21" t="n">
        <v>86.03169551888669</v>
      </c>
      <c r="I21" t="n">
        <v>1300.245621131417</v>
      </c>
      <c r="J21" t="n">
        <v>795.4328584498896</v>
      </c>
      <c r="K21" t="n">
        <v>2.829967772754571</v>
      </c>
      <c r="L21" t="n">
        <v>5.013718719115786</v>
      </c>
      <c r="M21" t="n">
        <v>1.677271896837965</v>
      </c>
      <c r="N21" t="n">
        <v>1.466458072683736</v>
      </c>
      <c r="O21" t="n">
        <v>1.466458072683736</v>
      </c>
      <c r="P21" t="n">
        <v>2.618675759181382</v>
      </c>
      <c r="Q21" t="n">
        <v>4.385081836677367</v>
      </c>
      <c r="R21" t="n">
        <v>2.829156277858195</v>
      </c>
      <c r="S21">
        <f>Q21-P21</f>
        <v/>
      </c>
      <c r="T21">
        <f>Q21-Settings!$B$5</f>
        <v/>
      </c>
      <c r="U21">
        <f>0.5*(P21+T21)</f>
        <v/>
      </c>
      <c r="V21">
        <f>AVERAGE(K2:K21)</f>
        <v/>
      </c>
      <c r="W21">
        <f>AVERAGE(L2:L21)</f>
        <v/>
      </c>
      <c r="X21">
        <f>AVERAGE(P2:P21)</f>
        <v/>
      </c>
      <c r="Y21">
        <f>AVERAGE(T2:T21)</f>
        <v/>
      </c>
      <c r="Z21">
        <f>AVERAGE(U2:U21)</f>
        <v/>
      </c>
      <c r="AA21">
        <f>0.5*V21+0.5*X21</f>
        <v/>
      </c>
      <c r="AB21">
        <f>Settings!$B$3+Settings!$B$4*W21</f>
        <v/>
      </c>
      <c r="AC21">
        <f>Z21</f>
        <v/>
      </c>
      <c r="AD21">
        <f>0.5*V21+0.5*Z21</f>
        <v/>
      </c>
      <c r="AE21">
        <f>(X21+Y21+V21)/3</f>
        <v/>
      </c>
      <c r="AF21">
        <f>0.7*X21+0.3*V21</f>
        <v/>
      </c>
    </row>
    <row r="22">
      <c r="A22" t="inlineStr">
        <is>
          <t>1990-01-01</t>
        </is>
      </c>
      <c r="B22" t="n">
        <v>446175.2131685475</v>
      </c>
      <c r="C22" t="n">
        <v>245817.5894326291</v>
      </c>
      <c r="D22" t="n">
        <v>64.5004655757112</v>
      </c>
      <c r="E22" t="n">
        <v>4.004973873650787</v>
      </c>
      <c r="F22" t="n">
        <v>4.27645194213131</v>
      </c>
      <c r="G22" t="n">
        <v>5.995479895057234</v>
      </c>
      <c r="H22" t="n">
        <v>86.00014966456</v>
      </c>
      <c r="I22" t="n">
        <v>1300.846700849302</v>
      </c>
      <c r="J22" t="n">
        <v>795.7995996953672</v>
      </c>
      <c r="K22" t="n">
        <v>2.404318871539544</v>
      </c>
      <c r="L22" t="n">
        <v>1.466964981910223</v>
      </c>
      <c r="M22" t="n">
        <v>-0.1744783198362256</v>
      </c>
      <c r="N22" t="n">
        <v>0.9266227666008149</v>
      </c>
      <c r="O22" t="n">
        <v>0.9266227666008149</v>
      </c>
      <c r="P22" t="n">
        <v>3.078351107049972</v>
      </c>
      <c r="Q22" t="n">
        <v>5.068857128456419</v>
      </c>
      <c r="R22" t="n">
        <v>3.349829175530495</v>
      </c>
      <c r="S22">
        <f>Q22-P22</f>
        <v/>
      </c>
      <c r="T22">
        <f>Q22-Settings!$B$5</f>
        <v/>
      </c>
      <c r="U22">
        <f>0.5*(P22+T22)</f>
        <v/>
      </c>
      <c r="V22">
        <f>AVERAGE(K3:K22)</f>
        <v/>
      </c>
      <c r="W22">
        <f>AVERAGE(L3:L22)</f>
        <v/>
      </c>
      <c r="X22">
        <f>AVERAGE(P3:P22)</f>
        <v/>
      </c>
      <c r="Y22">
        <f>AVERAGE(T3:T22)</f>
        <v/>
      </c>
      <c r="Z22">
        <f>AVERAGE(U3:U22)</f>
        <v/>
      </c>
      <c r="AA22">
        <f>0.5*V22+0.5*X22</f>
        <v/>
      </c>
      <c r="AB22">
        <f>Settings!$B$3+Settings!$B$4*W22</f>
        <v/>
      </c>
      <c r="AC22">
        <f>Z22</f>
        <v/>
      </c>
      <c r="AD22">
        <f>0.5*V22+0.5*Z22</f>
        <v/>
      </c>
      <c r="AE22">
        <f>(X22+Y22+V22)/3</f>
        <v/>
      </c>
      <c r="AF22">
        <f>0.7*X22+0.3*V22</f>
        <v/>
      </c>
    </row>
    <row r="23">
      <c r="A23" t="inlineStr">
        <is>
          <t>1990-04-01</t>
        </is>
      </c>
      <c r="B23" t="n">
        <v>447948.3530965716</v>
      </c>
      <c r="C23" t="n">
        <v>247889.7189756793</v>
      </c>
      <c r="D23" t="n">
        <v>64.62035175304172</v>
      </c>
      <c r="E23" t="n">
        <v>3.895694967408947</v>
      </c>
      <c r="F23" t="n">
        <v>4.108300625370696</v>
      </c>
      <c r="G23" t="n">
        <v>5.69925261510741</v>
      </c>
      <c r="H23" t="n">
        <v>86.01701049884342</v>
      </c>
      <c r="I23" t="n">
        <v>1301.243322148491</v>
      </c>
      <c r="J23" t="n">
        <v>796.619417150474</v>
      </c>
      <c r="K23" t="n">
        <v>1.586485196757167</v>
      </c>
      <c r="L23" t="n">
        <v>3.279269820427089</v>
      </c>
      <c r="M23" t="n">
        <v>0.7427847144160751</v>
      </c>
      <c r="N23" t="n">
        <v>0.8920618159652349</v>
      </c>
      <c r="O23" t="n">
        <v>0.8920618159652349</v>
      </c>
      <c r="P23" t="n">
        <v>3.003633151443712</v>
      </c>
      <c r="Q23" t="n">
        <v>4.807190799142175</v>
      </c>
      <c r="R23" t="n">
        <v>3.216238809405461</v>
      </c>
      <c r="S23">
        <f>Q23-P23</f>
        <v/>
      </c>
      <c r="T23">
        <f>Q23-Settings!$B$5</f>
        <v/>
      </c>
      <c r="U23">
        <f>0.5*(P23+T23)</f>
        <v/>
      </c>
      <c r="V23">
        <f>AVERAGE(K4:K23)</f>
        <v/>
      </c>
      <c r="W23">
        <f>AVERAGE(L4:L23)</f>
        <v/>
      </c>
      <c r="X23">
        <f>AVERAGE(P4:P23)</f>
        <v/>
      </c>
      <c r="Y23">
        <f>AVERAGE(T4:T23)</f>
        <v/>
      </c>
      <c r="Z23">
        <f>AVERAGE(U4:U23)</f>
        <v/>
      </c>
      <c r="AA23">
        <f>0.5*V23+0.5*X23</f>
        <v/>
      </c>
      <c r="AB23">
        <f>Settings!$B$3+Settings!$B$4*W23</f>
        <v/>
      </c>
      <c r="AC23">
        <f>Z23</f>
        <v/>
      </c>
      <c r="AD23">
        <f>0.5*V23+0.5*Z23</f>
        <v/>
      </c>
      <c r="AE23">
        <f>(X23+Y23+V23)/3</f>
        <v/>
      </c>
      <c r="AF23">
        <f>0.7*X23+0.3*V23</f>
        <v/>
      </c>
    </row>
    <row r="24">
      <c r="A24" t="inlineStr">
        <is>
          <t>1990-07-01</t>
        </is>
      </c>
      <c r="B24" t="n">
        <v>452107.0671929372</v>
      </c>
      <c r="C24" t="n">
        <v>248841.205246779</v>
      </c>
      <c r="D24" t="n">
        <v>64.6867035587949</v>
      </c>
      <c r="E24" t="n">
        <v>3.839540306084504</v>
      </c>
      <c r="F24" t="n">
        <v>4.051171400322365</v>
      </c>
      <c r="G24" t="n">
        <v>5.814909408754612</v>
      </c>
      <c r="H24" t="n">
        <v>86.0335039621101</v>
      </c>
      <c r="I24" t="n">
        <v>1302.167430508473</v>
      </c>
      <c r="J24" t="n">
        <v>796.9833440736681</v>
      </c>
      <c r="K24" t="n">
        <v>3.696433439928114</v>
      </c>
      <c r="L24" t="n">
        <v>1.455707692776741</v>
      </c>
      <c r="M24" t="n">
        <v>0.4105069838101372</v>
      </c>
      <c r="N24" t="n">
        <v>0.6640213188069879</v>
      </c>
      <c r="O24" t="n">
        <v>0.6640213188069879</v>
      </c>
      <c r="P24" t="n">
        <v>3.175518987277516</v>
      </c>
      <c r="Q24" t="n">
        <v>5.150888089947624</v>
      </c>
      <c r="R24" t="n">
        <v>3.387150081515377</v>
      </c>
      <c r="S24">
        <f>Q24-P24</f>
        <v/>
      </c>
      <c r="T24">
        <f>Q24-Settings!$B$5</f>
        <v/>
      </c>
      <c r="U24">
        <f>0.5*(P24+T24)</f>
        <v/>
      </c>
      <c r="V24">
        <f>AVERAGE(K5:K24)</f>
        <v/>
      </c>
      <c r="W24">
        <f>AVERAGE(L5:L24)</f>
        <v/>
      </c>
      <c r="X24">
        <f>AVERAGE(P5:P24)</f>
        <v/>
      </c>
      <c r="Y24">
        <f>AVERAGE(T5:T24)</f>
        <v/>
      </c>
      <c r="Z24">
        <f>AVERAGE(U5:U24)</f>
        <v/>
      </c>
      <c r="AA24">
        <f>0.5*V24+0.5*X24</f>
        <v/>
      </c>
      <c r="AB24">
        <f>Settings!$B$3+Settings!$B$4*W24</f>
        <v/>
      </c>
      <c r="AC24">
        <f>Z24</f>
        <v/>
      </c>
      <c r="AD24">
        <f>0.5*V24+0.5*Z24</f>
        <v/>
      </c>
      <c r="AE24">
        <f>(X24+Y24+V24)/3</f>
        <v/>
      </c>
      <c r="AF24">
        <f>0.7*X24+0.3*V24</f>
        <v/>
      </c>
    </row>
    <row r="25">
      <c r="A25" t="inlineStr">
        <is>
          <t>1990-10-01</t>
        </is>
      </c>
      <c r="B25" t="n">
        <v>454286.2479898835</v>
      </c>
      <c r="C25" t="n">
        <v>248636.6576735292</v>
      </c>
      <c r="D25" t="n">
        <v>64.77635269688062</v>
      </c>
      <c r="E25" t="n">
        <v>3.717232261311803</v>
      </c>
      <c r="F25" t="n">
        <v>3.912224423408546</v>
      </c>
      <c r="G25" t="n">
        <v>5.507902396346453</v>
      </c>
      <c r="H25" t="n">
        <v>85.98125792685512</v>
      </c>
      <c r="I25" t="n">
        <v>1302.648278052086</v>
      </c>
      <c r="J25" t="n">
        <v>796.9618562218353</v>
      </c>
      <c r="K25" t="n">
        <v>1.923390174448286</v>
      </c>
      <c r="L25" t="n">
        <v>-0.08595140733132212</v>
      </c>
      <c r="M25" t="n">
        <v>0.5539751957530825</v>
      </c>
      <c r="N25" t="n">
        <v>0.3831971435357673</v>
      </c>
      <c r="O25" t="n">
        <v>0.3831971435357673</v>
      </c>
      <c r="P25" t="n">
        <v>3.334035117776035</v>
      </c>
      <c r="Q25" t="n">
        <v>5.124705252810686</v>
      </c>
      <c r="R25" t="n">
        <v>3.529027279872778</v>
      </c>
      <c r="S25">
        <f>Q25-P25</f>
        <v/>
      </c>
      <c r="T25">
        <f>Q25-Settings!$B$5</f>
        <v/>
      </c>
      <c r="U25">
        <f>0.5*(P25+T25)</f>
        <v/>
      </c>
      <c r="V25">
        <f>AVERAGE(K6:K25)</f>
        <v/>
      </c>
      <c r="W25">
        <f>AVERAGE(L6:L25)</f>
        <v/>
      </c>
      <c r="X25">
        <f>AVERAGE(P6:P25)</f>
        <v/>
      </c>
      <c r="Y25">
        <f>AVERAGE(T6:T25)</f>
        <v/>
      </c>
      <c r="Z25">
        <f>AVERAGE(U6:U25)</f>
        <v/>
      </c>
      <c r="AA25">
        <f>0.5*V25+0.5*X25</f>
        <v/>
      </c>
      <c r="AB25">
        <f>Settings!$B$3+Settings!$B$4*W25</f>
        <v/>
      </c>
      <c r="AC25">
        <f>Z25</f>
        <v/>
      </c>
      <c r="AD25">
        <f>0.5*V25+0.5*Z25</f>
        <v/>
      </c>
      <c r="AE25">
        <f>(X25+Y25+V25)/3</f>
        <v/>
      </c>
      <c r="AF25">
        <f>0.7*X25+0.3*V25</f>
        <v/>
      </c>
    </row>
    <row r="26">
      <c r="A26" t="inlineStr">
        <is>
          <t>1991-01-01</t>
        </is>
      </c>
      <c r="B26" t="n">
        <v>456028.5977624219</v>
      </c>
      <c r="C26" t="n">
        <v>249446.8544751756</v>
      </c>
      <c r="D26" t="n">
        <v>64.79720057957537</v>
      </c>
      <c r="E26" t="n">
        <v>4.0334163009054</v>
      </c>
      <c r="F26" t="n">
        <v>4.257919576921424</v>
      </c>
      <c r="G26" t="n">
        <v>5.846522083510014</v>
      </c>
      <c r="H26" t="n">
        <v>86.03781240818149</v>
      </c>
      <c r="I26" t="n">
        <v>1303.031080092133</v>
      </c>
      <c r="J26" t="n">
        <v>797.2214284580883</v>
      </c>
      <c r="K26" t="n">
        <v>1.531208160191454</v>
      </c>
      <c r="L26" t="n">
        <v>1.038288945012027</v>
      </c>
      <c r="M26" t="n">
        <v>0.1287169015433847</v>
      </c>
      <c r="N26" t="n">
        <v>0.4589959488806699</v>
      </c>
      <c r="O26" t="n">
        <v>0.4589959488806699</v>
      </c>
      <c r="P26" t="n">
        <v>3.57442035202473</v>
      </c>
      <c r="Q26" t="n">
        <v>5.387526134629344</v>
      </c>
      <c r="R26" t="n">
        <v>3.798923628040754</v>
      </c>
      <c r="S26">
        <f>Q26-P26</f>
        <v/>
      </c>
      <c r="T26">
        <f>Q26-Settings!$B$5</f>
        <v/>
      </c>
      <c r="U26">
        <f>0.5*(P26+T26)</f>
        <v/>
      </c>
      <c r="V26">
        <f>AVERAGE(K7:K26)</f>
        <v/>
      </c>
      <c r="W26">
        <f>AVERAGE(L7:L26)</f>
        <v/>
      </c>
      <c r="X26">
        <f>AVERAGE(P7:P26)</f>
        <v/>
      </c>
      <c r="Y26">
        <f>AVERAGE(T7:T26)</f>
        <v/>
      </c>
      <c r="Z26">
        <f>AVERAGE(U7:U26)</f>
        <v/>
      </c>
      <c r="AA26">
        <f>0.5*V26+0.5*X26</f>
        <v/>
      </c>
      <c r="AB26">
        <f>Settings!$B$3+Settings!$B$4*W26</f>
        <v/>
      </c>
      <c r="AC26">
        <f>Z26</f>
        <v/>
      </c>
      <c r="AD26">
        <f>0.5*V26+0.5*Z26</f>
        <v/>
      </c>
      <c r="AE26">
        <f>(X26+Y26+V26)/3</f>
        <v/>
      </c>
      <c r="AF26">
        <f>0.7*X26+0.3*V26</f>
        <v/>
      </c>
    </row>
    <row r="27">
      <c r="A27" t="inlineStr">
        <is>
          <t>1991-04-01</t>
        </is>
      </c>
      <c r="B27" t="n">
        <v>457875.8871483677</v>
      </c>
      <c r="C27" t="n">
        <v>253500.26530643</v>
      </c>
      <c r="D27" t="n">
        <v>64.88540566688484</v>
      </c>
      <c r="E27" t="n">
        <v>3.840581385888462</v>
      </c>
      <c r="F27" t="n">
        <v>4.059333941925907</v>
      </c>
      <c r="G27" t="n">
        <v>5.677128833152745</v>
      </c>
      <c r="H27" t="n">
        <v>86.01894213017292</v>
      </c>
      <c r="I27" t="n">
        <v>1303.435343761321</v>
      </c>
      <c r="J27" t="n">
        <v>798.85526192585</v>
      </c>
      <c r="K27" t="n">
        <v>1.61705467675074</v>
      </c>
      <c r="L27" t="n">
        <v>6.535333871046532</v>
      </c>
      <c r="M27" t="n">
        <v>0.5441291069896579</v>
      </c>
      <c r="N27" t="n">
        <v>0.4093320470240656</v>
      </c>
      <c r="O27" t="n">
        <v>0.4093320470240656</v>
      </c>
      <c r="P27" t="n">
        <v>3.431249338864396</v>
      </c>
      <c r="Q27" t="n">
        <v>5.267796786128679</v>
      </c>
      <c r="R27" t="n">
        <v>3.650001894901841</v>
      </c>
      <c r="S27">
        <f>Q27-P27</f>
        <v/>
      </c>
      <c r="T27">
        <f>Q27-Settings!$B$5</f>
        <v/>
      </c>
      <c r="U27">
        <f>0.5*(P27+T27)</f>
        <v/>
      </c>
      <c r="V27">
        <f>AVERAGE(K8:K27)</f>
        <v/>
      </c>
      <c r="W27">
        <f>AVERAGE(L8:L27)</f>
        <v/>
      </c>
      <c r="X27">
        <f>AVERAGE(P8:P27)</f>
        <v/>
      </c>
      <c r="Y27">
        <f>AVERAGE(T8:T27)</f>
        <v/>
      </c>
      <c r="Z27">
        <f>AVERAGE(U8:U27)</f>
        <v/>
      </c>
      <c r="AA27">
        <f>0.5*V27+0.5*X27</f>
        <v/>
      </c>
      <c r="AB27">
        <f>Settings!$B$3+Settings!$B$4*W27</f>
        <v/>
      </c>
      <c r="AC27">
        <f>Z27</f>
        <v/>
      </c>
      <c r="AD27">
        <f>0.5*V27+0.5*Z27</f>
        <v/>
      </c>
      <c r="AE27">
        <f>(X27+Y27+V27)/3</f>
        <v/>
      </c>
      <c r="AF27">
        <f>0.7*X27+0.3*V27</f>
        <v/>
      </c>
    </row>
    <row r="28">
      <c r="A28" t="inlineStr">
        <is>
          <t>1991-07-01</t>
        </is>
      </c>
      <c r="B28" t="n">
        <v>461011.2611474414</v>
      </c>
      <c r="C28" t="n">
        <v>255310.4185537218</v>
      </c>
      <c r="D28" t="n">
        <v>64.98614399908703</v>
      </c>
      <c r="E28" t="n">
        <v>3.794890770420528</v>
      </c>
      <c r="F28" t="n">
        <v>4.032442520677484</v>
      </c>
      <c r="G28" t="n">
        <v>5.912776138357281</v>
      </c>
      <c r="H28" t="n">
        <v>85.93825934565443</v>
      </c>
      <c r="I28" t="n">
        <v>1304.117774933215</v>
      </c>
      <c r="J28" t="n">
        <v>799.6606287615651</v>
      </c>
      <c r="K28" t="n">
        <v>2.729724687575981</v>
      </c>
      <c r="L28" t="n">
        <v>3.221467342860706</v>
      </c>
      <c r="M28" t="n">
        <v>0.6205414667967943</v>
      </c>
      <c r="N28" t="n">
        <v>0.4618406677707299</v>
      </c>
      <c r="O28" t="n">
        <v>0.4618406677707299</v>
      </c>
      <c r="P28" t="n">
        <v>3.333050102649798</v>
      </c>
      <c r="Q28" t="n">
        <v>5.450935470586551</v>
      </c>
      <c r="R28" t="n">
        <v>3.570601852906754</v>
      </c>
      <c r="S28">
        <f>Q28-P28</f>
        <v/>
      </c>
      <c r="T28">
        <f>Q28-Settings!$B$5</f>
        <v/>
      </c>
      <c r="U28">
        <f>0.5*(P28+T28)</f>
        <v/>
      </c>
      <c r="V28">
        <f>AVERAGE(K9:K28)</f>
        <v/>
      </c>
      <c r="W28">
        <f>AVERAGE(L9:L28)</f>
        <v/>
      </c>
      <c r="X28">
        <f>AVERAGE(P9:P28)</f>
        <v/>
      </c>
      <c r="Y28">
        <f>AVERAGE(T9:T28)</f>
        <v/>
      </c>
      <c r="Z28">
        <f>AVERAGE(U9:U28)</f>
        <v/>
      </c>
      <c r="AA28">
        <f>0.5*V28+0.5*X28</f>
        <v/>
      </c>
      <c r="AB28">
        <f>Settings!$B$3+Settings!$B$4*W28</f>
        <v/>
      </c>
      <c r="AC28">
        <f>Z28</f>
        <v/>
      </c>
      <c r="AD28">
        <f>0.5*V28+0.5*Z28</f>
        <v/>
      </c>
      <c r="AE28">
        <f>(X28+Y28+V28)/3</f>
        <v/>
      </c>
      <c r="AF28">
        <f>0.7*X28+0.3*V28</f>
        <v/>
      </c>
    </row>
    <row r="29">
      <c r="A29" t="inlineStr">
        <is>
          <t>1991-10-01</t>
        </is>
      </c>
      <c r="B29" t="n">
        <v>464057.5780599978</v>
      </c>
      <c r="C29" t="n">
        <v>255048.4577674322</v>
      </c>
      <c r="D29" t="n">
        <v>65.04626178042535</v>
      </c>
      <c r="E29" t="n">
        <v>3.7064468473812</v>
      </c>
      <c r="F29" t="n">
        <v>3.890807159822081</v>
      </c>
      <c r="G29" t="n">
        <v>5.591575404865679</v>
      </c>
      <c r="H29" t="n">
        <v>86.07211523955931</v>
      </c>
      <c r="I29" t="n">
        <v>1304.776391415633</v>
      </c>
      <c r="J29" t="n">
        <v>799.4023342382911</v>
      </c>
      <c r="K29" t="n">
        <v>2.634465929672842</v>
      </c>
      <c r="L29" t="n">
        <v>-1.033178093096012</v>
      </c>
      <c r="M29" t="n">
        <v>0.3698634060413042</v>
      </c>
      <c r="N29" t="n">
        <v>0.4158127203427853</v>
      </c>
      <c r="O29" t="n">
        <v>0.4158127203427853</v>
      </c>
      <c r="P29" t="n">
        <v>3.290634127038415</v>
      </c>
      <c r="Q29" t="n">
        <v>5.175762684522894</v>
      </c>
      <c r="R29" t="n">
        <v>3.474994439479296</v>
      </c>
      <c r="S29">
        <f>Q29-P29</f>
        <v/>
      </c>
      <c r="T29">
        <f>Q29-Settings!$B$5</f>
        <v/>
      </c>
      <c r="U29">
        <f>0.5*(P29+T29)</f>
        <v/>
      </c>
      <c r="V29">
        <f>AVERAGE(K10:K29)</f>
        <v/>
      </c>
      <c r="W29">
        <f>AVERAGE(L10:L29)</f>
        <v/>
      </c>
      <c r="X29">
        <f>AVERAGE(P10:P29)</f>
        <v/>
      </c>
      <c r="Y29">
        <f>AVERAGE(T10:T29)</f>
        <v/>
      </c>
      <c r="Z29">
        <f>AVERAGE(U10:U29)</f>
        <v/>
      </c>
      <c r="AA29">
        <f>0.5*V29+0.5*X29</f>
        <v/>
      </c>
      <c r="AB29">
        <f>Settings!$B$3+Settings!$B$4*W29</f>
        <v/>
      </c>
      <c r="AC29">
        <f>Z29</f>
        <v/>
      </c>
      <c r="AD29">
        <f>0.5*V29+0.5*Z29</f>
        <v/>
      </c>
      <c r="AE29">
        <f>(X29+Y29+V29)/3</f>
        <v/>
      </c>
      <c r="AF29">
        <f>0.7*X29+0.3*V29</f>
        <v/>
      </c>
    </row>
    <row r="30">
      <c r="A30" t="inlineStr">
        <is>
          <t>1992-01-01</t>
        </is>
      </c>
      <c r="B30" t="n">
        <v>467369.3702087536</v>
      </c>
      <c r="C30" t="n">
        <v>256659.4573734144</v>
      </c>
      <c r="D30" t="n">
        <v>65.1065095375354</v>
      </c>
      <c r="E30" t="n">
        <v>3.451492524017429</v>
      </c>
      <c r="F30" t="n">
        <v>3.638430299829111</v>
      </c>
      <c r="G30" t="n">
        <v>5.180766071022282</v>
      </c>
      <c r="H30" t="n">
        <v>85.97496276281215</v>
      </c>
      <c r="I30" t="n">
        <v>1305.487516665191</v>
      </c>
      <c r="J30" t="n">
        <v>800.1449293409975</v>
      </c>
      <c r="K30" t="n">
        <v>2.844500998232434</v>
      </c>
      <c r="L30" t="n">
        <v>2.970380410825328</v>
      </c>
      <c r="M30" t="n">
        <v>0.3703202678095749</v>
      </c>
      <c r="N30" t="n">
        <v>0.4762135619093328</v>
      </c>
      <c r="O30" t="n">
        <v>0.4762135619093328</v>
      </c>
      <c r="P30" t="n">
        <v>2.975278962108096</v>
      </c>
      <c r="Q30" t="n">
        <v>4.70455250911295</v>
      </c>
      <c r="R30" t="n">
        <v>3.162216737919778</v>
      </c>
      <c r="S30">
        <f>Q30-P30</f>
        <v/>
      </c>
      <c r="T30">
        <f>Q30-Settings!$B$5</f>
        <v/>
      </c>
      <c r="U30">
        <f>0.5*(P30+T30)</f>
        <v/>
      </c>
      <c r="V30">
        <f>AVERAGE(K11:K30)</f>
        <v/>
      </c>
      <c r="W30">
        <f>AVERAGE(L11:L30)</f>
        <v/>
      </c>
      <c r="X30">
        <f>AVERAGE(P11:P30)</f>
        <v/>
      </c>
      <c r="Y30">
        <f>AVERAGE(T11:T30)</f>
        <v/>
      </c>
      <c r="Z30">
        <f>AVERAGE(U11:U30)</f>
        <v/>
      </c>
      <c r="AA30">
        <f>0.5*V30+0.5*X30</f>
        <v/>
      </c>
      <c r="AB30">
        <f>Settings!$B$3+Settings!$B$4*W30</f>
        <v/>
      </c>
      <c r="AC30">
        <f>Z30</f>
        <v/>
      </c>
      <c r="AD30">
        <f>0.5*V30+0.5*Z30</f>
        <v/>
      </c>
      <c r="AE30">
        <f>(X30+Y30+V30)/3</f>
        <v/>
      </c>
      <c r="AF30">
        <f>0.7*X30+0.3*V30</f>
        <v/>
      </c>
    </row>
    <row r="31">
      <c r="A31" t="inlineStr">
        <is>
          <t>1992-04-01</t>
        </is>
      </c>
      <c r="B31" t="n">
        <v>470959.2010157397</v>
      </c>
      <c r="C31" t="n">
        <v>260546.212483928</v>
      </c>
      <c r="D31" t="n">
        <v>65.16856980770073</v>
      </c>
      <c r="E31" t="n">
        <v>3.330615217214272</v>
      </c>
      <c r="F31" t="n">
        <v>3.516242122086913</v>
      </c>
      <c r="G31" t="n">
        <v>5.227515004241858</v>
      </c>
      <c r="H31" t="n">
        <v>85.91724523284074</v>
      </c>
      <c r="I31" t="n">
        <v>1306.252674719939</v>
      </c>
      <c r="J31" t="n">
        <v>801.7150955367565</v>
      </c>
      <c r="K31" t="n">
        <v>3.060632218989667</v>
      </c>
      <c r="L31" t="n">
        <v>6.280664783036173</v>
      </c>
      <c r="M31" t="n">
        <v>0.3811029717844576</v>
      </c>
      <c r="N31" t="n">
        <v>0.4354570281080328</v>
      </c>
      <c r="O31" t="n">
        <v>0.4354570281080328</v>
      </c>
      <c r="P31" t="n">
        <v>2.895158189106239</v>
      </c>
      <c r="Q31" t="n">
        <v>4.792057976133825</v>
      </c>
      <c r="R31" t="n">
        <v>3.08078509397888</v>
      </c>
      <c r="S31">
        <f>Q31-P31</f>
        <v/>
      </c>
      <c r="T31">
        <f>Q31-Settings!$B$5</f>
        <v/>
      </c>
      <c r="U31">
        <f>0.5*(P31+T31)</f>
        <v/>
      </c>
      <c r="V31">
        <f>AVERAGE(K12:K31)</f>
        <v/>
      </c>
      <c r="W31">
        <f>AVERAGE(L12:L31)</f>
        <v/>
      </c>
      <c r="X31">
        <f>AVERAGE(P12:P31)</f>
        <v/>
      </c>
      <c r="Y31">
        <f>AVERAGE(T12:T31)</f>
        <v/>
      </c>
      <c r="Z31">
        <f>AVERAGE(U12:U31)</f>
        <v/>
      </c>
      <c r="AA31">
        <f>0.5*V31+0.5*X31</f>
        <v/>
      </c>
      <c r="AB31">
        <f>Settings!$B$3+Settings!$B$4*W31</f>
        <v/>
      </c>
      <c r="AC31">
        <f>Z31</f>
        <v/>
      </c>
      <c r="AD31">
        <f>0.5*V31+0.5*Z31</f>
        <v/>
      </c>
      <c r="AE31">
        <f>(X31+Y31+V31)/3</f>
        <v/>
      </c>
      <c r="AF31">
        <f>0.7*X31+0.3*V31</f>
        <v/>
      </c>
    </row>
    <row r="32">
      <c r="A32" t="inlineStr">
        <is>
          <t>1992-07-01</t>
        </is>
      </c>
      <c r="B32" t="n">
        <v>477289.1938905646</v>
      </c>
      <c r="C32" t="n">
        <v>261349.1885185012</v>
      </c>
      <c r="D32" t="n">
        <v>65.1752493452321</v>
      </c>
      <c r="E32" t="n">
        <v>3.316789216816012</v>
      </c>
      <c r="F32" t="n">
        <v>3.540513268451382</v>
      </c>
      <c r="G32" t="n">
        <v>5.080605963107578</v>
      </c>
      <c r="H32" t="n">
        <v>85.94774781452068</v>
      </c>
      <c r="I32" t="n">
        <v>1307.587786265927</v>
      </c>
      <c r="J32" t="n">
        <v>801.9873151127734</v>
      </c>
      <c r="K32" t="n">
        <v>5.340446183950917</v>
      </c>
      <c r="L32" t="n">
        <v>1.088878304067748</v>
      </c>
      <c r="M32" t="n">
        <v>0.04099642057826713</v>
      </c>
      <c r="N32" t="n">
        <v>0.290570766553401</v>
      </c>
      <c r="O32" t="n">
        <v>0.290570766553401</v>
      </c>
      <c r="P32" t="n">
        <v>3.026218450262611</v>
      </c>
      <c r="Q32" t="n">
        <v>4.790035196554177</v>
      </c>
      <c r="R32" t="n">
        <v>3.249942501897981</v>
      </c>
      <c r="S32">
        <f>Q32-P32</f>
        <v/>
      </c>
      <c r="T32">
        <f>Q32-Settings!$B$5</f>
        <v/>
      </c>
      <c r="U32">
        <f>0.5*(P32+T32)</f>
        <v/>
      </c>
      <c r="V32">
        <f>AVERAGE(K13:K32)</f>
        <v/>
      </c>
      <c r="W32">
        <f>AVERAGE(L13:L32)</f>
        <v/>
      </c>
      <c r="X32">
        <f>AVERAGE(P13:P32)</f>
        <v/>
      </c>
      <c r="Y32">
        <f>AVERAGE(T13:T32)</f>
        <v/>
      </c>
      <c r="Z32">
        <f>AVERAGE(U13:U32)</f>
        <v/>
      </c>
      <c r="AA32">
        <f>0.5*V32+0.5*X32</f>
        <v/>
      </c>
      <c r="AB32">
        <f>Settings!$B$3+Settings!$B$4*W32</f>
        <v/>
      </c>
      <c r="AC32">
        <f>Z32</f>
        <v/>
      </c>
      <c r="AD32">
        <f>0.5*V32+0.5*Z32</f>
        <v/>
      </c>
      <c r="AE32">
        <f>(X32+Y32+V32)/3</f>
        <v/>
      </c>
      <c r="AF32">
        <f>0.7*X32+0.3*V32</f>
        <v/>
      </c>
    </row>
    <row r="33">
      <c r="A33" t="inlineStr">
        <is>
          <t>1992-10-01</t>
        </is>
      </c>
      <c r="B33" t="n">
        <v>480320.0407887335</v>
      </c>
      <c r="C33" t="n">
        <v>263232.2505774004</v>
      </c>
      <c r="D33" t="n">
        <v>65.21693269212757</v>
      </c>
      <c r="E33" t="n">
        <v>3.115432800665247</v>
      </c>
      <c r="F33" t="n">
        <v>3.360384033874149</v>
      </c>
      <c r="G33" t="n">
        <v>4.866457782375126</v>
      </c>
      <c r="H33" t="n">
        <v>85.94894774196608</v>
      </c>
      <c r="I33" t="n">
        <v>1308.220791234715</v>
      </c>
      <c r="J33" t="n">
        <v>802.7038514438156</v>
      </c>
      <c r="K33" t="n">
        <v>2.5320198751524</v>
      </c>
      <c r="L33" t="n">
        <v>2.866145324168428</v>
      </c>
      <c r="M33" t="n">
        <v>0.255741395927771</v>
      </c>
      <c r="N33" t="n">
        <v>0.2620402640250177</v>
      </c>
      <c r="O33" t="n">
        <v>0.2620402640250177</v>
      </c>
      <c r="P33" t="n">
        <v>2.85339253664023</v>
      </c>
      <c r="Q33" t="n">
        <v>4.604417518350108</v>
      </c>
      <c r="R33" t="n">
        <v>3.098343769849131</v>
      </c>
      <c r="S33">
        <f>Q33-P33</f>
        <v/>
      </c>
      <c r="T33">
        <f>Q33-Settings!$B$5</f>
        <v/>
      </c>
      <c r="U33">
        <f>0.5*(P33+T33)</f>
        <v/>
      </c>
      <c r="V33">
        <f>AVERAGE(K14:K33)</f>
        <v/>
      </c>
      <c r="W33">
        <f>AVERAGE(L14:L33)</f>
        <v/>
      </c>
      <c r="X33">
        <f>AVERAGE(P14:P33)</f>
        <v/>
      </c>
      <c r="Y33">
        <f>AVERAGE(T14:T33)</f>
        <v/>
      </c>
      <c r="Z33">
        <f>AVERAGE(U14:U33)</f>
        <v/>
      </c>
      <c r="AA33">
        <f>0.5*V33+0.5*X33</f>
        <v/>
      </c>
      <c r="AB33">
        <f>Settings!$B$3+Settings!$B$4*W33</f>
        <v/>
      </c>
      <c r="AC33">
        <f>Z33</f>
        <v/>
      </c>
      <c r="AD33">
        <f>0.5*V33+0.5*Z33</f>
        <v/>
      </c>
      <c r="AE33">
        <f>(X33+Y33+V33)/3</f>
        <v/>
      </c>
      <c r="AF33">
        <f>0.7*X33+0.3*V33</f>
        <v/>
      </c>
    </row>
    <row r="34">
      <c r="A34" t="inlineStr">
        <is>
          <t>1993-01-01</t>
        </is>
      </c>
      <c r="B34" t="n">
        <v>483531.9263503676</v>
      </c>
      <c r="C34" t="n">
        <v>266627.792669779</v>
      </c>
      <c r="D34" t="n">
        <v>65.2583982793825</v>
      </c>
      <c r="E34" t="n">
        <v>3.070191069603328</v>
      </c>
      <c r="F34" t="n">
        <v>3.256425854808849</v>
      </c>
      <c r="G34" t="n">
        <v>4.961051205592539</v>
      </c>
      <c r="H34" t="n">
        <v>86.00260866593288</v>
      </c>
      <c r="I34" t="n">
        <v>1308.887262344392</v>
      </c>
      <c r="J34" t="n">
        <v>803.9231300748792</v>
      </c>
      <c r="K34" t="n">
        <v>2.665884438709327</v>
      </c>
      <c r="L34" t="n">
        <v>4.877114524254466</v>
      </c>
      <c r="M34" t="n">
        <v>0.2542432402642589</v>
      </c>
      <c r="N34" t="n">
        <v>0.2330210071386887</v>
      </c>
      <c r="O34" t="n">
        <v>0.2330210071386887</v>
      </c>
      <c r="P34" t="n">
        <v>2.837170062464639</v>
      </c>
      <c r="Q34" t="n">
        <v>4.72803019845385</v>
      </c>
      <c r="R34" t="n">
        <v>3.02340484767016</v>
      </c>
      <c r="S34">
        <f>Q34-P34</f>
        <v/>
      </c>
      <c r="T34">
        <f>Q34-Settings!$B$5</f>
        <v/>
      </c>
      <c r="U34">
        <f>0.5*(P34+T34)</f>
        <v/>
      </c>
      <c r="V34">
        <f>AVERAGE(K15:K34)</f>
        <v/>
      </c>
      <c r="W34">
        <f>AVERAGE(L15:L34)</f>
        <v/>
      </c>
      <c r="X34">
        <f>AVERAGE(P15:P34)</f>
        <v/>
      </c>
      <c r="Y34">
        <f>AVERAGE(T15:T34)</f>
        <v/>
      </c>
      <c r="Z34">
        <f>AVERAGE(U15:U34)</f>
        <v/>
      </c>
      <c r="AA34">
        <f>0.5*V34+0.5*X34</f>
        <v/>
      </c>
      <c r="AB34">
        <f>Settings!$B$3+Settings!$B$4*W34</f>
        <v/>
      </c>
      <c r="AC34">
        <f>Z34</f>
        <v/>
      </c>
      <c r="AD34">
        <f>0.5*V34+0.5*Z34</f>
        <v/>
      </c>
      <c r="AE34">
        <f>(X34+Y34+V34)/3</f>
        <v/>
      </c>
      <c r="AF34">
        <f>0.7*X34+0.3*V34</f>
        <v/>
      </c>
    </row>
    <row r="35">
      <c r="A35" t="inlineStr">
        <is>
          <t>1993-04-01</t>
        </is>
      </c>
      <c r="B35" t="n">
        <v>486642.8603615615</v>
      </c>
      <c r="C35" t="n">
        <v>267231.4365565213</v>
      </c>
      <c r="D35" t="n">
        <v>65.32614196771431</v>
      </c>
      <c r="E35" t="n">
        <v>2.852873214405391</v>
      </c>
      <c r="F35" t="n">
        <v>3.040130002571598</v>
      </c>
      <c r="G35" t="n">
        <v>4.655981773182506</v>
      </c>
      <c r="H35" t="n">
        <v>85.98630747472269</v>
      </c>
      <c r="I35" t="n">
        <v>1309.528578675465</v>
      </c>
      <c r="J35" t="n">
        <v>804.1682297340399</v>
      </c>
      <c r="K35" t="n">
        <v>2.565265324290522</v>
      </c>
      <c r="L35" t="n">
        <v>0.9803986366428035</v>
      </c>
      <c r="M35" t="n">
        <v>0.4150181593061006</v>
      </c>
      <c r="N35" t="n">
        <v>0.2414998040190994</v>
      </c>
      <c r="O35" t="n">
        <v>0.2414998040190994</v>
      </c>
      <c r="P35" t="n">
        <v>2.611373410386292</v>
      </c>
      <c r="Q35" t="n">
        <v>4.414481969163407</v>
      </c>
      <c r="R35" t="n">
        <v>2.798630198552499</v>
      </c>
      <c r="S35">
        <f>Q35-P35</f>
        <v/>
      </c>
      <c r="T35">
        <f>Q35-Settings!$B$5</f>
        <v/>
      </c>
      <c r="U35">
        <f>0.5*(P35+T35)</f>
        <v/>
      </c>
      <c r="V35">
        <f>AVERAGE(K16:K35)</f>
        <v/>
      </c>
      <c r="W35">
        <f>AVERAGE(L16:L35)</f>
        <v/>
      </c>
      <c r="X35">
        <f>AVERAGE(P16:P35)</f>
        <v/>
      </c>
      <c r="Y35">
        <f>AVERAGE(T16:T35)</f>
        <v/>
      </c>
      <c r="Z35">
        <f>AVERAGE(U16:U35)</f>
        <v/>
      </c>
      <c r="AA35">
        <f>0.5*V35+0.5*X35</f>
        <v/>
      </c>
      <c r="AB35">
        <f>Settings!$B$3+Settings!$B$4*W35</f>
        <v/>
      </c>
      <c r="AC35">
        <f>Z35</f>
        <v/>
      </c>
      <c r="AD35">
        <f>0.5*V35+0.5*Z35</f>
        <v/>
      </c>
      <c r="AE35">
        <f>(X35+Y35+V35)/3</f>
        <v/>
      </c>
      <c r="AF35">
        <f>0.7*X35+0.3*V35</f>
        <v/>
      </c>
    </row>
    <row r="36">
      <c r="A36" t="inlineStr">
        <is>
          <t>1993-07-01</t>
        </is>
      </c>
      <c r="B36" t="n">
        <v>492187.0084382741</v>
      </c>
      <c r="C36" t="n">
        <v>270697.3086820935</v>
      </c>
      <c r="D36" t="n">
        <v>65.42419608545632</v>
      </c>
      <c r="E36" t="n">
        <v>2.822752278813536</v>
      </c>
      <c r="F36" t="n">
        <v>3.03217459552963</v>
      </c>
      <c r="G36" t="n">
        <v>4.650609870264717</v>
      </c>
      <c r="H36" t="n">
        <v>85.98315840161797</v>
      </c>
      <c r="I36" t="n">
        <v>1310.661402170711</v>
      </c>
      <c r="J36" t="n">
        <v>805.4605088948118</v>
      </c>
      <c r="K36" t="n">
        <v>4.531293980983719</v>
      </c>
      <c r="L36" t="n">
        <v>5.169116643087818</v>
      </c>
      <c r="M36" t="n">
        <v>0.5999472740732017</v>
      </c>
      <c r="N36" t="n">
        <v>0.3812375173928331</v>
      </c>
      <c r="O36" t="n">
        <v>0.3812375173928331</v>
      </c>
      <c r="P36" t="n">
        <v>2.441514761420703</v>
      </c>
      <c r="Q36" t="n">
        <v>4.269372352871883</v>
      </c>
      <c r="R36" t="n">
        <v>2.650937078136797</v>
      </c>
      <c r="S36">
        <f>Q36-P36</f>
        <v/>
      </c>
      <c r="T36">
        <f>Q36-Settings!$B$5</f>
        <v/>
      </c>
      <c r="U36">
        <f>0.5*(P36+T36)</f>
        <v/>
      </c>
      <c r="V36">
        <f>AVERAGE(K17:K36)</f>
        <v/>
      </c>
      <c r="W36">
        <f>AVERAGE(L17:L36)</f>
        <v/>
      </c>
      <c r="X36">
        <f>AVERAGE(P17:P36)</f>
        <v/>
      </c>
      <c r="Y36">
        <f>AVERAGE(T17:T36)</f>
        <v/>
      </c>
      <c r="Z36">
        <f>AVERAGE(U17:U36)</f>
        <v/>
      </c>
      <c r="AA36">
        <f>0.5*V36+0.5*X36</f>
        <v/>
      </c>
      <c r="AB36">
        <f>Settings!$B$3+Settings!$B$4*W36</f>
        <v/>
      </c>
      <c r="AC36">
        <f>Z36</f>
        <v/>
      </c>
      <c r="AD36">
        <f>0.5*V36+0.5*Z36</f>
        <v/>
      </c>
      <c r="AE36">
        <f>(X36+Y36+V36)/3</f>
        <v/>
      </c>
      <c r="AF36">
        <f>0.7*X36+0.3*V36</f>
        <v/>
      </c>
    </row>
    <row r="37">
      <c r="A37" t="inlineStr">
        <is>
          <t>1993-10-01</t>
        </is>
      </c>
      <c r="B37" t="n">
        <v>498846.0346318698</v>
      </c>
      <c r="C37" t="n">
        <v>274186.0054169954</v>
      </c>
      <c r="D37" t="n">
        <v>65.42132389142532</v>
      </c>
      <c r="E37" t="n">
        <v>2.631574290840272</v>
      </c>
      <c r="F37" t="n">
        <v>2.824201445839885</v>
      </c>
      <c r="G37" t="n">
        <v>4.432972813026802</v>
      </c>
      <c r="H37" t="n">
        <v>86.03098509827413</v>
      </c>
      <c r="I37" t="n">
        <v>1312.005277929106</v>
      </c>
      <c r="J37" t="n">
        <v>806.6854483736952</v>
      </c>
      <c r="K37" t="n">
        <v>5.375503033580571</v>
      </c>
      <c r="L37" t="n">
        <v>4.899757915533428</v>
      </c>
      <c r="M37" t="n">
        <v>-0.01756082459360186</v>
      </c>
      <c r="N37" t="n">
        <v>0.3129119622624899</v>
      </c>
      <c r="O37" t="n">
        <v>0.3129119622624899</v>
      </c>
      <c r="P37" t="n">
        <v>2.318662328577783</v>
      </c>
      <c r="Q37" t="n">
        <v>4.120060850764312</v>
      </c>
      <c r="R37" t="n">
        <v>2.511289483577396</v>
      </c>
      <c r="S37">
        <f>Q37-P37</f>
        <v/>
      </c>
      <c r="T37">
        <f>Q37-Settings!$B$5</f>
        <v/>
      </c>
      <c r="U37">
        <f>0.5*(P37+T37)</f>
        <v/>
      </c>
      <c r="V37">
        <f>AVERAGE(K18:K37)</f>
        <v/>
      </c>
      <c r="W37">
        <f>AVERAGE(L18:L37)</f>
        <v/>
      </c>
      <c r="X37">
        <f>AVERAGE(P18:P37)</f>
        <v/>
      </c>
      <c r="Y37">
        <f>AVERAGE(T18:T37)</f>
        <v/>
      </c>
      <c r="Z37">
        <f>AVERAGE(U18:U37)</f>
        <v/>
      </c>
      <c r="AA37">
        <f>0.5*V37+0.5*X37</f>
        <v/>
      </c>
      <c r="AB37">
        <f>Settings!$B$3+Settings!$B$4*W37</f>
        <v/>
      </c>
      <c r="AC37">
        <f>Z37</f>
        <v/>
      </c>
      <c r="AD37">
        <f>0.5*V37+0.5*Z37</f>
        <v/>
      </c>
      <c r="AE37">
        <f>(X37+Y37+V37)/3</f>
        <v/>
      </c>
      <c r="AF37">
        <f>0.7*X37+0.3*V37</f>
        <v/>
      </c>
    </row>
    <row r="38">
      <c r="A38" t="inlineStr">
        <is>
          <t>1994-01-01</t>
        </is>
      </c>
      <c r="B38" t="n">
        <v>503961.4851479254</v>
      </c>
      <c r="C38" t="n">
        <v>277553.3436920384</v>
      </c>
      <c r="D38" t="n">
        <v>65.46427028224528</v>
      </c>
      <c r="E38" t="n">
        <v>2.512911441166134</v>
      </c>
      <c r="F38" t="n">
        <v>2.741473050760332</v>
      </c>
      <c r="G38" t="n">
        <v>4.346569753826678</v>
      </c>
      <c r="H38" t="n">
        <v>86.01699376805963</v>
      </c>
      <c r="I38" t="n">
        <v>1313.025512577618</v>
      </c>
      <c r="J38" t="n">
        <v>807.9223544528764</v>
      </c>
      <c r="K38" t="n">
        <v>4.080938594051077</v>
      </c>
      <c r="L38" t="n">
        <v>4.947624316725069</v>
      </c>
      <c r="M38" t="n">
        <v>0.2624972909043208</v>
      </c>
      <c r="N38" t="n">
        <v>0.3149754749225053</v>
      </c>
      <c r="O38" t="n">
        <v>0.3149754749225053</v>
      </c>
      <c r="P38" t="n">
        <v>2.197935966243629</v>
      </c>
      <c r="Q38" t="n">
        <v>4.031594278904173</v>
      </c>
      <c r="R38" t="n">
        <v>2.426497575837826</v>
      </c>
      <c r="S38">
        <f>Q38-P38</f>
        <v/>
      </c>
      <c r="T38">
        <f>Q38-Settings!$B$5</f>
        <v/>
      </c>
      <c r="U38">
        <f>0.5*(P38+T38)</f>
        <v/>
      </c>
      <c r="V38">
        <f>AVERAGE(K19:K38)</f>
        <v/>
      </c>
      <c r="W38">
        <f>AVERAGE(L19:L38)</f>
        <v/>
      </c>
      <c r="X38">
        <f>AVERAGE(P19:P38)</f>
        <v/>
      </c>
      <c r="Y38">
        <f>AVERAGE(T19:T38)</f>
        <v/>
      </c>
      <c r="Z38">
        <f>AVERAGE(U19:U38)</f>
        <v/>
      </c>
      <c r="AA38">
        <f>0.5*V38+0.5*X38</f>
        <v/>
      </c>
      <c r="AB38">
        <f>Settings!$B$3+Settings!$B$4*W38</f>
        <v/>
      </c>
      <c r="AC38">
        <f>Z38</f>
        <v/>
      </c>
      <c r="AD38">
        <f>0.5*V38+0.5*Z38</f>
        <v/>
      </c>
      <c r="AE38">
        <f>(X38+Y38+V38)/3</f>
        <v/>
      </c>
      <c r="AF38">
        <f>0.7*X38+0.3*V38</f>
        <v/>
      </c>
    </row>
    <row r="39">
      <c r="A39" t="inlineStr">
        <is>
          <t>1994-04-01</t>
        </is>
      </c>
      <c r="B39" t="n">
        <v>508220.2266728553</v>
      </c>
      <c r="C39" t="n">
        <v>281099.2465087502</v>
      </c>
      <c r="D39" t="n">
        <v>65.58621873316778</v>
      </c>
      <c r="E39" t="n">
        <v>2.453235901083495</v>
      </c>
      <c r="F39" t="n">
        <v>2.585682582364924</v>
      </c>
      <c r="G39" t="n">
        <v>4.29573249082711</v>
      </c>
      <c r="H39" t="n">
        <v>86.01580239353221</v>
      </c>
      <c r="I39" t="n">
        <v>1313.867014969179</v>
      </c>
      <c r="J39" t="n">
        <v>809.1932048245653</v>
      </c>
      <c r="K39" t="n">
        <v>3.36600956624352</v>
      </c>
      <c r="L39" t="n">
        <v>5.08340148675552</v>
      </c>
      <c r="M39" t="n">
        <v>0.7444366642976092</v>
      </c>
      <c r="N39" t="n">
        <v>0.3973301011703825</v>
      </c>
      <c r="O39" t="n">
        <v>0.3973301011703825</v>
      </c>
      <c r="P39" t="n">
        <v>2.055905799913113</v>
      </c>
      <c r="Q39" t="n">
        <v>3.898402389656727</v>
      </c>
      <c r="R39" t="n">
        <v>2.188352481194542</v>
      </c>
      <c r="S39">
        <f>Q39-P39</f>
        <v/>
      </c>
      <c r="T39">
        <f>Q39-Settings!$B$5</f>
        <v/>
      </c>
      <c r="U39">
        <f>0.5*(P39+T39)</f>
        <v/>
      </c>
      <c r="V39">
        <f>AVERAGE(K20:K39)</f>
        <v/>
      </c>
      <c r="W39">
        <f>AVERAGE(L20:L39)</f>
        <v/>
      </c>
      <c r="X39">
        <f>AVERAGE(P20:P39)</f>
        <v/>
      </c>
      <c r="Y39">
        <f>AVERAGE(T20:T39)</f>
        <v/>
      </c>
      <c r="Z39">
        <f>AVERAGE(U20:U39)</f>
        <v/>
      </c>
      <c r="AA39">
        <f>0.5*V39+0.5*X39</f>
        <v/>
      </c>
      <c r="AB39">
        <f>Settings!$B$3+Settings!$B$4*W39</f>
        <v/>
      </c>
      <c r="AC39">
        <f>Z39</f>
        <v/>
      </c>
      <c r="AD39">
        <f>0.5*V39+0.5*Z39</f>
        <v/>
      </c>
      <c r="AE39">
        <f>(X39+Y39+V39)/3</f>
        <v/>
      </c>
      <c r="AF39">
        <f>0.7*X39+0.3*V39</f>
        <v/>
      </c>
    </row>
    <row r="40">
      <c r="A40" t="inlineStr">
        <is>
          <t>1994-07-01</t>
        </is>
      </c>
      <c r="B40" t="n">
        <v>512678.6571404319</v>
      </c>
      <c r="C40" t="n">
        <v>282075.4500261496</v>
      </c>
      <c r="D40" t="n">
        <v>65.59883275490591</v>
      </c>
      <c r="E40" t="n">
        <v>2.231911476127792</v>
      </c>
      <c r="F40" t="n">
        <v>2.407110324720285</v>
      </c>
      <c r="G40" t="n">
        <v>3.83821478285725</v>
      </c>
      <c r="H40" t="n">
        <v>86.02049142286643</v>
      </c>
      <c r="I40" t="n">
        <v>1314.740452854649</v>
      </c>
      <c r="J40" t="n">
        <v>809.5344327188403</v>
      </c>
      <c r="K40" t="n">
        <v>3.493751541876918</v>
      </c>
      <c r="L40" t="n">
        <v>1.364911577099974</v>
      </c>
      <c r="M40" t="n">
        <v>0.07692353135621488</v>
      </c>
      <c r="N40" t="n">
        <v>0.2665741654911358</v>
      </c>
      <c r="O40" t="n">
        <v>0.2665741654911358</v>
      </c>
      <c r="P40" t="n">
        <v>1.965337310636656</v>
      </c>
      <c r="Q40" t="n">
        <v>3.571640617366114</v>
      </c>
      <c r="R40" t="n">
        <v>2.140536159229149</v>
      </c>
      <c r="S40">
        <f>Q40-P40</f>
        <v/>
      </c>
      <c r="T40">
        <f>Q40-Settings!$B$5</f>
        <v/>
      </c>
      <c r="U40">
        <f>0.5*(P40+T40)</f>
        <v/>
      </c>
      <c r="V40">
        <f>AVERAGE(K21:K40)</f>
        <v/>
      </c>
      <c r="W40">
        <f>AVERAGE(L21:L40)</f>
        <v/>
      </c>
      <c r="X40">
        <f>AVERAGE(P21:P40)</f>
        <v/>
      </c>
      <c r="Y40">
        <f>AVERAGE(T21:T40)</f>
        <v/>
      </c>
      <c r="Z40">
        <f>AVERAGE(U21:U40)</f>
        <v/>
      </c>
      <c r="AA40">
        <f>0.5*V40+0.5*X40</f>
        <v/>
      </c>
      <c r="AB40">
        <f>Settings!$B$3+Settings!$B$4*W40</f>
        <v/>
      </c>
      <c r="AC40">
        <f>Z40</f>
        <v/>
      </c>
      <c r="AD40">
        <f>0.5*V40+0.5*Z40</f>
        <v/>
      </c>
      <c r="AE40">
        <f>(X40+Y40+V40)/3</f>
        <v/>
      </c>
      <c r="AF40">
        <f>0.7*X40+0.3*V40</f>
        <v/>
      </c>
    </row>
    <row r="41">
      <c r="A41" t="inlineStr">
        <is>
          <t>1994-10-01</t>
        </is>
      </c>
      <c r="B41" t="n">
        <v>519542.6355037005</v>
      </c>
      <c r="C41" t="n">
        <v>286485.4162896362</v>
      </c>
      <c r="D41" t="n">
        <v>65.6075784813912</v>
      </c>
      <c r="E41" t="n">
        <v>2.077943895203752</v>
      </c>
      <c r="F41" t="n">
        <v>2.254471405184909</v>
      </c>
      <c r="G41" t="n">
        <v>3.944601162064706</v>
      </c>
      <c r="H41" t="n">
        <v>86.03080673340011</v>
      </c>
      <c r="I41" t="n">
        <v>1316.070415642083</v>
      </c>
      <c r="J41" t="n">
        <v>811.0737460899262</v>
      </c>
      <c r="K41" t="n">
        <v>5.319851149736678</v>
      </c>
      <c r="L41" t="n">
        <v>6.157253484343528</v>
      </c>
      <c r="M41" t="n">
        <v>0.05332499481255581</v>
      </c>
      <c r="N41" t="n">
        <v>0.2842956203426752</v>
      </c>
      <c r="O41" t="n">
        <v>0.2842956203426752</v>
      </c>
      <c r="P41" t="n">
        <v>1.793648274861077</v>
      </c>
      <c r="Q41" t="n">
        <v>3.66030554172203</v>
      </c>
      <c r="R41" t="n">
        <v>1.970175784842234</v>
      </c>
      <c r="S41">
        <f>Q41-P41</f>
        <v/>
      </c>
      <c r="T41">
        <f>Q41-Settings!$B$5</f>
        <v/>
      </c>
      <c r="U41">
        <f>0.5*(P41+T41)</f>
        <v/>
      </c>
      <c r="V41">
        <f>AVERAGE(K22:K41)</f>
        <v/>
      </c>
      <c r="W41">
        <f>AVERAGE(L22:L41)</f>
        <v/>
      </c>
      <c r="X41">
        <f>AVERAGE(P22:P41)</f>
        <v/>
      </c>
      <c r="Y41">
        <f>AVERAGE(T22:T41)</f>
        <v/>
      </c>
      <c r="Z41">
        <f>AVERAGE(U22:U41)</f>
        <v/>
      </c>
      <c r="AA41">
        <f>0.5*V41+0.5*X41</f>
        <v/>
      </c>
      <c r="AB41">
        <f>Settings!$B$3+Settings!$B$4*W41</f>
        <v/>
      </c>
      <c r="AC41">
        <f>Z41</f>
        <v/>
      </c>
      <c r="AD41">
        <f>0.5*V41+0.5*Z41</f>
        <v/>
      </c>
      <c r="AE41">
        <f>(X41+Y41+V41)/3</f>
        <v/>
      </c>
      <c r="AF41">
        <f>0.7*X41+0.3*V41</f>
        <v/>
      </c>
    </row>
    <row r="42">
      <c r="A42" t="inlineStr">
        <is>
          <t>1995-01-01</t>
        </is>
      </c>
      <c r="B42" t="n">
        <v>526644.6349696</v>
      </c>
      <c r="C42" t="n">
        <v>287288.8957813523</v>
      </c>
      <c r="D42" t="n">
        <v>65.66676546108719</v>
      </c>
      <c r="E42" t="n">
        <v>1.977571789598582</v>
      </c>
      <c r="F42" t="n">
        <v>2.107961109226998</v>
      </c>
      <c r="G42" t="n">
        <v>3.679369847615552</v>
      </c>
      <c r="H42" t="n">
        <v>85.89460233291113</v>
      </c>
      <c r="I42" t="n">
        <v>1317.428128312384</v>
      </c>
      <c r="J42" t="n">
        <v>811.5122603584847</v>
      </c>
      <c r="K42" t="n">
        <v>5.430850681205811</v>
      </c>
      <c r="L42" t="n">
        <v>1.75405707423397</v>
      </c>
      <c r="M42" t="n">
        <v>0.360691857549682</v>
      </c>
      <c r="N42" t="n">
        <v>0.3088442620040155</v>
      </c>
      <c r="O42" t="n">
        <v>0.3088442620040155</v>
      </c>
      <c r="P42" t="n">
        <v>1.668727527594567</v>
      </c>
      <c r="Q42" t="n">
        <v>3.370525585611536</v>
      </c>
      <c r="R42" t="n">
        <v>1.799116847222983</v>
      </c>
      <c r="S42">
        <f>Q42-P42</f>
        <v/>
      </c>
      <c r="T42">
        <f>Q42-Settings!$B$5</f>
        <v/>
      </c>
      <c r="U42">
        <f>0.5*(P42+T42)</f>
        <v/>
      </c>
      <c r="V42">
        <f>AVERAGE(K23:K42)</f>
        <v/>
      </c>
      <c r="W42">
        <f>AVERAGE(L23:L42)</f>
        <v/>
      </c>
      <c r="X42">
        <f>AVERAGE(P23:P42)</f>
        <v/>
      </c>
      <c r="Y42">
        <f>AVERAGE(T23:T42)</f>
        <v/>
      </c>
      <c r="Z42">
        <f>AVERAGE(U23:U42)</f>
        <v/>
      </c>
      <c r="AA42">
        <f>0.5*V42+0.5*X42</f>
        <v/>
      </c>
      <c r="AB42">
        <f>Settings!$B$3+Settings!$B$4*W42</f>
        <v/>
      </c>
      <c r="AC42">
        <f>Z42</f>
        <v/>
      </c>
      <c r="AD42">
        <f>0.5*V42+0.5*Z42</f>
        <v/>
      </c>
      <c r="AE42">
        <f>(X42+Y42+V42)/3</f>
        <v/>
      </c>
      <c r="AF42">
        <f>0.7*X42+0.3*V42</f>
        <v/>
      </c>
    </row>
    <row r="43">
      <c r="A43" t="inlineStr">
        <is>
          <t>1995-04-01</t>
        </is>
      </c>
      <c r="B43" t="n">
        <v>533446.6443103798</v>
      </c>
      <c r="C43" t="n">
        <v>293338.4848716464</v>
      </c>
      <c r="D43" t="n">
        <v>65.75766442364795</v>
      </c>
      <c r="E43" t="n">
        <v>1.897616697532157</v>
      </c>
      <c r="F43" t="n">
        <v>2.068707544201093</v>
      </c>
      <c r="G43" t="n">
        <v>3.553386783976216</v>
      </c>
      <c r="H43" t="n">
        <v>85.95677808738677</v>
      </c>
      <c r="I43" t="n">
        <v>1318.711433405784</v>
      </c>
      <c r="J43" t="n">
        <v>813.5237870156064</v>
      </c>
      <c r="K43" t="n">
        <v>5.133220373599215</v>
      </c>
      <c r="L43" t="n">
        <v>8.046106628486996</v>
      </c>
      <c r="M43" t="n">
        <v>0.5533155571456518</v>
      </c>
      <c r="N43" t="n">
        <v>0.2610639852160261</v>
      </c>
      <c r="O43" t="n">
        <v>0.2610639852160261</v>
      </c>
      <c r="P43" t="n">
        <v>1.636552712316131</v>
      </c>
      <c r="Q43" t="n">
        <v>3.29232279876019</v>
      </c>
      <c r="R43" t="n">
        <v>1.807643558985067</v>
      </c>
      <c r="S43">
        <f>Q43-P43</f>
        <v/>
      </c>
      <c r="T43">
        <f>Q43-Settings!$B$5</f>
        <v/>
      </c>
      <c r="U43">
        <f>0.5*(P43+T43)</f>
        <v/>
      </c>
      <c r="V43">
        <f>AVERAGE(K24:K43)</f>
        <v/>
      </c>
      <c r="W43">
        <f>AVERAGE(L24:L43)</f>
        <v/>
      </c>
      <c r="X43">
        <f>AVERAGE(P24:P43)</f>
        <v/>
      </c>
      <c r="Y43">
        <f>AVERAGE(T24:T43)</f>
        <v/>
      </c>
      <c r="Z43">
        <f>AVERAGE(U24:U43)</f>
        <v/>
      </c>
      <c r="AA43">
        <f>0.5*V43+0.5*X43</f>
        <v/>
      </c>
      <c r="AB43">
        <f>Settings!$B$3+Settings!$B$4*W43</f>
        <v/>
      </c>
      <c r="AC43">
        <f>Z43</f>
        <v/>
      </c>
      <c r="AD43">
        <f>0.5*V43+0.5*Z43</f>
        <v/>
      </c>
      <c r="AE43">
        <f>(X43+Y43+V43)/3</f>
        <v/>
      </c>
      <c r="AF43">
        <f>0.7*X43+0.3*V43</f>
        <v/>
      </c>
    </row>
    <row r="44">
      <c r="A44" t="inlineStr">
        <is>
          <t>1995-07-01</t>
        </is>
      </c>
      <c r="B44" t="n">
        <v>538227.7550277811</v>
      </c>
      <c r="C44" t="n">
        <v>295028.4773959203</v>
      </c>
      <c r="D44" t="n">
        <v>65.80756510918835</v>
      </c>
      <c r="E44" t="n">
        <v>1.671712046390974</v>
      </c>
      <c r="F44" t="n">
        <v>1.844257362915596</v>
      </c>
      <c r="G44" t="n">
        <v>3.465870922005106</v>
      </c>
      <c r="H44" t="n">
        <v>85.84098949677553</v>
      </c>
      <c r="I44" t="n">
        <v>1319.603708604518</v>
      </c>
      <c r="J44" t="n">
        <v>814.2330538729926</v>
      </c>
      <c r="K44" t="n">
        <v>3.569100794935366</v>
      </c>
      <c r="L44" t="n">
        <v>2.837067429544732</v>
      </c>
      <c r="M44" t="n">
        <v>0.3034278166680906</v>
      </c>
      <c r="N44" t="n">
        <v>0.3176900565439951</v>
      </c>
      <c r="O44" t="n">
        <v>0.3176900565439951</v>
      </c>
      <c r="P44" t="n">
        <v>1.354021989846979</v>
      </c>
      <c r="Q44" t="n">
        <v>3.148180865461111</v>
      </c>
      <c r="R44" t="n">
        <v>1.526567306371601</v>
      </c>
      <c r="S44">
        <f>Q44-P44</f>
        <v/>
      </c>
      <c r="T44">
        <f>Q44-Settings!$B$5</f>
        <v/>
      </c>
      <c r="U44">
        <f>0.5*(P44+T44)</f>
        <v/>
      </c>
      <c r="V44">
        <f>AVERAGE(K25:K44)</f>
        <v/>
      </c>
      <c r="W44">
        <f>AVERAGE(L25:L44)</f>
        <v/>
      </c>
      <c r="X44">
        <f>AVERAGE(P25:P44)</f>
        <v/>
      </c>
      <c r="Y44">
        <f>AVERAGE(T25:T44)</f>
        <v/>
      </c>
      <c r="Z44">
        <f>AVERAGE(U25:U44)</f>
        <v/>
      </c>
      <c r="AA44">
        <f>0.5*V44+0.5*X44</f>
        <v/>
      </c>
      <c r="AB44">
        <f>Settings!$B$3+Settings!$B$4*W44</f>
        <v/>
      </c>
      <c r="AC44">
        <f>Z44</f>
        <v/>
      </c>
      <c r="AD44">
        <f>0.5*V44+0.5*Z44</f>
        <v/>
      </c>
      <c r="AE44">
        <f>(X44+Y44+V44)/3</f>
        <v/>
      </c>
      <c r="AF44">
        <f>0.7*X44+0.3*V44</f>
        <v/>
      </c>
    </row>
    <row r="45">
      <c r="A45" t="inlineStr">
        <is>
          <t>1995-10-01</t>
        </is>
      </c>
      <c r="B45" t="n">
        <v>544289.3102025718</v>
      </c>
      <c r="C45" t="n">
        <v>297903.2212096536</v>
      </c>
      <c r="D45" t="n">
        <v>65.92261297743774</v>
      </c>
      <c r="E45" t="n">
        <v>1.656873545132556</v>
      </c>
      <c r="F45" t="n">
        <v>1.850840405496991</v>
      </c>
      <c r="G45" t="n">
        <v>3.465271645464001</v>
      </c>
      <c r="H45" t="n">
        <v>85.92680299633989</v>
      </c>
      <c r="I45" t="n">
        <v>1320.723620469714</v>
      </c>
      <c r="J45" t="n">
        <v>815.1028145810901</v>
      </c>
      <c r="K45" t="n">
        <v>4.479647460783781</v>
      </c>
      <c r="L45" t="n">
        <v>3.47904283238995</v>
      </c>
      <c r="M45" t="n">
        <v>0.6986881771310891</v>
      </c>
      <c r="N45" t="n">
        <v>0.4790308521236284</v>
      </c>
      <c r="O45" t="n">
        <v>0.4790308521236284</v>
      </c>
      <c r="P45" t="n">
        <v>1.177842693008928</v>
      </c>
      <c r="Q45" t="n">
        <v>2.986240793340373</v>
      </c>
      <c r="R45" t="n">
        <v>1.371809553373363</v>
      </c>
      <c r="S45">
        <f>Q45-P45</f>
        <v/>
      </c>
      <c r="T45">
        <f>Q45-Settings!$B$5</f>
        <v/>
      </c>
      <c r="U45">
        <f>0.5*(P45+T45)</f>
        <v/>
      </c>
      <c r="V45">
        <f>AVERAGE(K26:K45)</f>
        <v/>
      </c>
      <c r="W45">
        <f>AVERAGE(L26:L45)</f>
        <v/>
      </c>
      <c r="X45">
        <f>AVERAGE(P26:P45)</f>
        <v/>
      </c>
      <c r="Y45">
        <f>AVERAGE(T26:T45)</f>
        <v/>
      </c>
      <c r="Z45">
        <f>AVERAGE(U26:U45)</f>
        <v/>
      </c>
      <c r="AA45">
        <f>0.5*V45+0.5*X45</f>
        <v/>
      </c>
      <c r="AB45">
        <f>Settings!$B$3+Settings!$B$4*W45</f>
        <v/>
      </c>
      <c r="AC45">
        <f>Z45</f>
        <v/>
      </c>
      <c r="AD45">
        <f>0.5*V45+0.5*Z45</f>
        <v/>
      </c>
      <c r="AE45">
        <f>(X45+Y45+V45)/3</f>
        <v/>
      </c>
      <c r="AF45">
        <f>0.7*X45+0.3*V45</f>
        <v/>
      </c>
    </row>
    <row r="46">
      <c r="A46" t="inlineStr">
        <is>
          <t>1996-01-01</t>
        </is>
      </c>
      <c r="B46" t="n">
        <v>549933.8180505489</v>
      </c>
      <c r="C46" t="n">
        <v>301403.0272024374</v>
      </c>
      <c r="D46" t="n">
        <v>66.01448046303261</v>
      </c>
      <c r="E46" t="n">
        <v>1.473061434119113</v>
      </c>
      <c r="F46" t="n">
        <v>1.706450410868921</v>
      </c>
      <c r="G46" t="n">
        <v>3.203710817661885</v>
      </c>
      <c r="H46" t="n">
        <v>85.89976835138879</v>
      </c>
      <c r="I46" t="n">
        <v>1321.755321915114</v>
      </c>
      <c r="J46" t="n">
        <v>816.3022476665456</v>
      </c>
      <c r="K46" t="n">
        <v>4.126805781599614</v>
      </c>
      <c r="L46" t="n">
        <v>4.797732341821757</v>
      </c>
      <c r="M46" t="n">
        <v>0.5570381947698024</v>
      </c>
      <c r="N46" t="n">
        <v>0.5281174364286585</v>
      </c>
      <c r="O46" t="n">
        <v>0.5281174364286585</v>
      </c>
      <c r="P46" t="n">
        <v>0.9449439976904543</v>
      </c>
      <c r="Q46" t="n">
        <v>2.675593381233226</v>
      </c>
      <c r="R46" t="n">
        <v>1.178332974440262</v>
      </c>
      <c r="S46">
        <f>Q46-P46</f>
        <v/>
      </c>
      <c r="T46">
        <f>Q46-Settings!$B$5</f>
        <v/>
      </c>
      <c r="U46">
        <f>0.5*(P46+T46)</f>
        <v/>
      </c>
      <c r="V46">
        <f>AVERAGE(K27:K46)</f>
        <v/>
      </c>
      <c r="W46">
        <f>AVERAGE(L27:L46)</f>
        <v/>
      </c>
      <c r="X46">
        <f>AVERAGE(P27:P46)</f>
        <v/>
      </c>
      <c r="Y46">
        <f>AVERAGE(T27:T46)</f>
        <v/>
      </c>
      <c r="Z46">
        <f>AVERAGE(U27:U46)</f>
        <v/>
      </c>
      <c r="AA46">
        <f>0.5*V46+0.5*X46</f>
        <v/>
      </c>
      <c r="AB46">
        <f>Settings!$B$3+Settings!$B$4*W46</f>
        <v/>
      </c>
      <c r="AC46">
        <f>Z46</f>
        <v/>
      </c>
      <c r="AD46">
        <f>0.5*V46+0.5*Z46</f>
        <v/>
      </c>
      <c r="AE46">
        <f>(X46+Y46+V46)/3</f>
        <v/>
      </c>
      <c r="AF46">
        <f>0.7*X46+0.3*V46</f>
        <v/>
      </c>
    </row>
    <row r="47">
      <c r="A47" t="inlineStr">
        <is>
          <t>1996-04-01</t>
        </is>
      </c>
      <c r="B47" t="n">
        <v>555453.0944749536</v>
      </c>
      <c r="C47" t="n">
        <v>305091.176905468</v>
      </c>
      <c r="D47" t="n">
        <v>66.10573357156611</v>
      </c>
      <c r="E47" t="n">
        <v>1.432390633036678</v>
      </c>
      <c r="F47" t="n">
        <v>1.625038813500957</v>
      </c>
      <c r="G47" t="n">
        <v>3.315493818803476</v>
      </c>
      <c r="H47" t="n">
        <v>85.92727661373948</v>
      </c>
      <c r="I47" t="n">
        <v>1322.753944610778</v>
      </c>
      <c r="J47" t="n">
        <v>817.486463384525</v>
      </c>
      <c r="K47" t="n">
        <v>3.994490782656612</v>
      </c>
      <c r="L47" t="n">
        <v>4.736862871917765</v>
      </c>
      <c r="M47" t="n">
        <v>0.5525460200669841</v>
      </c>
      <c r="N47" t="n">
        <v>0.5279250521589915</v>
      </c>
      <c r="O47" t="n">
        <v>0.5279250521589915</v>
      </c>
      <c r="P47" t="n">
        <v>0.9044655808776867</v>
      </c>
      <c r="Q47" t="n">
        <v>2.787568766644485</v>
      </c>
      <c r="R47" t="n">
        <v>1.097113761341965</v>
      </c>
      <c r="S47">
        <f>Q47-P47</f>
        <v/>
      </c>
      <c r="T47">
        <f>Q47-Settings!$B$5</f>
        <v/>
      </c>
      <c r="U47">
        <f>0.5*(P47+T47)</f>
        <v/>
      </c>
      <c r="V47">
        <f>AVERAGE(K28:K47)</f>
        <v/>
      </c>
      <c r="W47">
        <f>AVERAGE(L28:L47)</f>
        <v/>
      </c>
      <c r="X47">
        <f>AVERAGE(P28:P47)</f>
        <v/>
      </c>
      <c r="Y47">
        <f>AVERAGE(T28:T47)</f>
        <v/>
      </c>
      <c r="Z47">
        <f>AVERAGE(U28:U47)</f>
        <v/>
      </c>
      <c r="AA47">
        <f>0.5*V47+0.5*X47</f>
        <v/>
      </c>
      <c r="AB47">
        <f>Settings!$B$3+Settings!$B$4*W47</f>
        <v/>
      </c>
      <c r="AC47">
        <f>Z47</f>
        <v/>
      </c>
      <c r="AD47">
        <f>0.5*V47+0.5*Z47</f>
        <v/>
      </c>
      <c r="AE47">
        <f>(X47+Y47+V47)/3</f>
        <v/>
      </c>
      <c r="AF47">
        <f>0.7*X47+0.3*V47</f>
        <v/>
      </c>
    </row>
    <row r="48">
      <c r="A48" t="inlineStr">
        <is>
          <t>1996-07-01</t>
        </is>
      </c>
      <c r="B48" t="n">
        <v>561725.0693234308</v>
      </c>
      <c r="C48" t="n">
        <v>310082.7319456351</v>
      </c>
      <c r="D48" t="n">
        <v>66.18283050297426</v>
      </c>
      <c r="E48" t="n">
        <v>1.130286984754976</v>
      </c>
      <c r="F48" t="n">
        <v>1.299362573146842</v>
      </c>
      <c r="G48" t="n">
        <v>2.796069468117886</v>
      </c>
      <c r="H48" t="n">
        <v>85.90938171963604</v>
      </c>
      <c r="I48" t="n">
        <v>1323.876780868611</v>
      </c>
      <c r="J48" t="n">
        <v>819.1301378313981</v>
      </c>
      <c r="K48" t="n">
        <v>4.491345031334276</v>
      </c>
      <c r="L48" t="n">
        <v>6.574697787492369</v>
      </c>
      <c r="M48" t="n">
        <v>0.4662349503973928</v>
      </c>
      <c r="N48" t="n">
        <v>0.5686268355913171</v>
      </c>
      <c r="O48" t="n">
        <v>0.5686268355913171</v>
      </c>
      <c r="P48" t="n">
        <v>0.5616601491636593</v>
      </c>
      <c r="Q48" t="n">
        <v>2.227442632526569</v>
      </c>
      <c r="R48" t="n">
        <v>0.7307357375555246</v>
      </c>
      <c r="S48">
        <f>Q48-P48</f>
        <v/>
      </c>
      <c r="T48">
        <f>Q48-Settings!$B$5</f>
        <v/>
      </c>
      <c r="U48">
        <f>0.5*(P48+T48)</f>
        <v/>
      </c>
      <c r="V48">
        <f>AVERAGE(K29:K48)</f>
        <v/>
      </c>
      <c r="W48">
        <f>AVERAGE(L29:L48)</f>
        <v/>
      </c>
      <c r="X48">
        <f>AVERAGE(P29:P48)</f>
        <v/>
      </c>
      <c r="Y48">
        <f>AVERAGE(T29:T48)</f>
        <v/>
      </c>
      <c r="Z48">
        <f>AVERAGE(U29:U48)</f>
        <v/>
      </c>
      <c r="AA48">
        <f>0.5*V48+0.5*X48</f>
        <v/>
      </c>
      <c r="AB48">
        <f>Settings!$B$3+Settings!$B$4*W48</f>
        <v/>
      </c>
      <c r="AC48">
        <f>Z48</f>
        <v/>
      </c>
      <c r="AD48">
        <f>0.5*V48+0.5*Z48</f>
        <v/>
      </c>
      <c r="AE48">
        <f>(X48+Y48+V48)/3</f>
        <v/>
      </c>
      <c r="AF48">
        <f>0.7*X48+0.3*V48</f>
        <v/>
      </c>
    </row>
    <row r="49">
      <c r="A49" t="inlineStr">
        <is>
          <t>1996-10-01</t>
        </is>
      </c>
      <c r="B49" t="n">
        <v>566528.2374307796</v>
      </c>
      <c r="C49" t="n">
        <v>309941.742692347</v>
      </c>
      <c r="D49" t="n">
        <v>66.34821191745735</v>
      </c>
      <c r="E49" t="n">
        <v>1.085671711244792</v>
      </c>
      <c r="F49" t="n">
        <v>1.283963075008386</v>
      </c>
      <c r="G49" t="n">
        <v>2.844977336367536</v>
      </c>
      <c r="H49" t="n">
        <v>85.83513875241262</v>
      </c>
      <c r="I49" t="n">
        <v>1324.728220362857</v>
      </c>
      <c r="J49" t="n">
        <v>819.1711166778834</v>
      </c>
      <c r="K49" t="n">
        <v>3.405757976984205</v>
      </c>
      <c r="L49" t="n">
        <v>0.1639153859414364</v>
      </c>
      <c r="M49" t="n">
        <v>0.9982959301037226</v>
      </c>
      <c r="N49" t="n">
        <v>0.6435287738344755</v>
      </c>
      <c r="O49" t="n">
        <v>0.6435287738344755</v>
      </c>
      <c r="P49" t="n">
        <v>0.4421429374103161</v>
      </c>
      <c r="Q49" t="n">
        <v>2.201448562533061</v>
      </c>
      <c r="R49" t="n">
        <v>0.6404343011739102</v>
      </c>
      <c r="S49">
        <f>Q49-P49</f>
        <v/>
      </c>
      <c r="T49">
        <f>Q49-Settings!$B$5</f>
        <v/>
      </c>
      <c r="U49">
        <f>0.5*(P49+T49)</f>
        <v/>
      </c>
      <c r="V49">
        <f>AVERAGE(K30:K49)</f>
        <v/>
      </c>
      <c r="W49">
        <f>AVERAGE(L30:L49)</f>
        <v/>
      </c>
      <c r="X49">
        <f>AVERAGE(P30:P49)</f>
        <v/>
      </c>
      <c r="Y49">
        <f>AVERAGE(T30:T49)</f>
        <v/>
      </c>
      <c r="Z49">
        <f>AVERAGE(U30:U49)</f>
        <v/>
      </c>
      <c r="AA49">
        <f>0.5*V49+0.5*X49</f>
        <v/>
      </c>
      <c r="AB49">
        <f>Settings!$B$3+Settings!$B$4*W49</f>
        <v/>
      </c>
      <c r="AC49">
        <f>Z49</f>
        <v/>
      </c>
      <c r="AD49">
        <f>0.5*V49+0.5*Z49</f>
        <v/>
      </c>
      <c r="AE49">
        <f>(X49+Y49+V49)/3</f>
        <v/>
      </c>
      <c r="AF49">
        <f>0.7*X49+0.3*V49</f>
        <v/>
      </c>
    </row>
    <row r="50">
      <c r="A50" t="inlineStr">
        <is>
          <t>1997-01-01</t>
        </is>
      </c>
      <c r="B50" t="n">
        <v>571697.1814422365</v>
      </c>
      <c r="C50" t="n">
        <v>314471.9784171155</v>
      </c>
      <c r="D50" t="n">
        <v>66.38777578439506</v>
      </c>
      <c r="E50" t="n">
        <v>0.9156765924382948</v>
      </c>
      <c r="F50" t="n">
        <v>1.147151801081535</v>
      </c>
      <c r="G50" t="n">
        <v>2.657189178944995</v>
      </c>
      <c r="H50" t="n">
        <v>85.77498194613015</v>
      </c>
      <c r="I50" t="n">
        <v>1325.636472710564</v>
      </c>
      <c r="J50" t="n">
        <v>820.6922874055294</v>
      </c>
      <c r="K50" t="n">
        <v>3.633009390825464</v>
      </c>
      <c r="L50" t="n">
        <v>6.084682910583979</v>
      </c>
      <c r="M50" t="n">
        <v>0.2384514933403352</v>
      </c>
      <c r="N50" t="n">
        <v>0.5638820984771087</v>
      </c>
      <c r="O50" t="n">
        <v>0.5638820984771087</v>
      </c>
      <c r="P50" t="n">
        <v>0.3517944939611861</v>
      </c>
      <c r="Q50" t="n">
        <v>2.093307080467886</v>
      </c>
      <c r="R50" t="n">
        <v>0.5832697026044267</v>
      </c>
      <c r="S50">
        <f>Q50-P50</f>
        <v/>
      </c>
      <c r="T50">
        <f>Q50-Settings!$B$5</f>
        <v/>
      </c>
      <c r="U50">
        <f>0.5*(P50+T50)</f>
        <v/>
      </c>
      <c r="V50">
        <f>AVERAGE(K31:K50)</f>
        <v/>
      </c>
      <c r="W50">
        <f>AVERAGE(L31:L50)</f>
        <v/>
      </c>
      <c r="X50">
        <f>AVERAGE(P31:P50)</f>
        <v/>
      </c>
      <c r="Y50">
        <f>AVERAGE(T31:T50)</f>
        <v/>
      </c>
      <c r="Z50">
        <f>AVERAGE(U31:U50)</f>
        <v/>
      </c>
      <c r="AA50">
        <f>0.5*V50+0.5*X50</f>
        <v/>
      </c>
      <c r="AB50">
        <f>Settings!$B$3+Settings!$B$4*W50</f>
        <v/>
      </c>
      <c r="AC50">
        <f>Z50</f>
        <v/>
      </c>
      <c r="AD50">
        <f>0.5*V50+0.5*Z50</f>
        <v/>
      </c>
      <c r="AE50">
        <f>(X50+Y50+V50)/3</f>
        <v/>
      </c>
      <c r="AF50">
        <f>0.7*X50+0.3*V50</f>
        <v/>
      </c>
    </row>
    <row r="51">
      <c r="A51" t="inlineStr">
        <is>
          <t>1997-04-01</t>
        </is>
      </c>
      <c r="B51" t="n">
        <v>575397.3761385378</v>
      </c>
      <c r="C51" t="n">
        <v>315856.2523784186</v>
      </c>
      <c r="D51" t="n">
        <v>66.33782837331528</v>
      </c>
      <c r="E51" t="n">
        <v>0.8336885266818024</v>
      </c>
      <c r="F51" t="n">
        <v>1.004409762198355</v>
      </c>
      <c r="G51" t="n">
        <v>2.629029799647868</v>
      </c>
      <c r="H51" t="n">
        <v>85.79925805562729</v>
      </c>
      <c r="I51" t="n">
        <v>1326.281617002408</v>
      </c>
      <c r="J51" t="n">
        <v>821.103213244891</v>
      </c>
      <c r="K51" t="n">
        <v>2.580577167376759</v>
      </c>
      <c r="L51" t="n">
        <v>1.643703357446157</v>
      </c>
      <c r="M51" t="n">
        <v>-0.3010566876198482</v>
      </c>
      <c r="N51" t="n">
        <v>0.3504814215554006</v>
      </c>
      <c r="O51" t="n">
        <v>0.3504814215554006</v>
      </c>
      <c r="P51" t="n">
        <v>0.4832071051264017</v>
      </c>
      <c r="Q51" t="n">
        <v>2.278548378092468</v>
      </c>
      <c r="R51" t="n">
        <v>0.6539283406429546</v>
      </c>
      <c r="S51">
        <f>Q51-P51</f>
        <v/>
      </c>
      <c r="T51">
        <f>Q51-Settings!$B$5</f>
        <v/>
      </c>
      <c r="U51">
        <f>0.5*(P51+T51)</f>
        <v/>
      </c>
      <c r="V51">
        <f>AVERAGE(K32:K51)</f>
        <v/>
      </c>
      <c r="W51">
        <f>AVERAGE(L32:L51)</f>
        <v/>
      </c>
      <c r="X51">
        <f>AVERAGE(P32:P51)</f>
        <v/>
      </c>
      <c r="Y51">
        <f>AVERAGE(T32:T51)</f>
        <v/>
      </c>
      <c r="Z51">
        <f>AVERAGE(U32:U51)</f>
        <v/>
      </c>
      <c r="AA51">
        <f>0.5*V51+0.5*X51</f>
        <v/>
      </c>
      <c r="AB51">
        <f>Settings!$B$3+Settings!$B$4*W51</f>
        <v/>
      </c>
      <c r="AC51">
        <f>Z51</f>
        <v/>
      </c>
      <c r="AD51">
        <f>0.5*V51+0.5*Z51</f>
        <v/>
      </c>
      <c r="AE51">
        <f>(X51+Y51+V51)/3</f>
        <v/>
      </c>
      <c r="AF51">
        <f>0.7*X51+0.3*V51</f>
        <v/>
      </c>
    </row>
    <row r="52">
      <c r="A52" t="inlineStr">
        <is>
          <t>1997-07-01</t>
        </is>
      </c>
      <c r="B52" t="n">
        <v>579061.5248062167</v>
      </c>
      <c r="C52" t="n">
        <v>318066.6777482922</v>
      </c>
      <c r="D52" t="n">
        <v>66.46752542778393</v>
      </c>
      <c r="E52" t="n">
        <v>0.7623832950554471</v>
      </c>
      <c r="F52" t="n">
        <v>0.9350660485378036</v>
      </c>
      <c r="G52" t="n">
        <v>2.590269723520171</v>
      </c>
      <c r="H52" t="n">
        <v>85.72360411813378</v>
      </c>
      <c r="I52" t="n">
        <v>1326.916401136968</v>
      </c>
      <c r="J52" t="n">
        <v>821.888810327323</v>
      </c>
      <c r="K52" t="n">
        <v>2.539136538238381</v>
      </c>
      <c r="L52" t="n">
        <v>3.142388329727964</v>
      </c>
      <c r="M52" t="n">
        <v>0.7812763084550625</v>
      </c>
      <c r="N52" t="n">
        <v>0.429241761069818</v>
      </c>
      <c r="O52" t="n">
        <v>0.429241761069818</v>
      </c>
      <c r="P52" t="n">
        <v>0.3331415339856291</v>
      </c>
      <c r="Q52" t="n">
        <v>2.161027962450353</v>
      </c>
      <c r="R52" t="n">
        <v>0.5058242874679856</v>
      </c>
      <c r="S52">
        <f>Q52-P52</f>
        <v/>
      </c>
      <c r="T52">
        <f>Q52-Settings!$B$5</f>
        <v/>
      </c>
      <c r="U52">
        <f>0.5*(P52+T52)</f>
        <v/>
      </c>
      <c r="V52">
        <f>AVERAGE(K33:K52)</f>
        <v/>
      </c>
      <c r="W52">
        <f>AVERAGE(L33:L52)</f>
        <v/>
      </c>
      <c r="X52">
        <f>AVERAGE(P33:P52)</f>
        <v/>
      </c>
      <c r="Y52">
        <f>AVERAGE(T33:T52)</f>
        <v/>
      </c>
      <c r="Z52">
        <f>AVERAGE(U33:U52)</f>
        <v/>
      </c>
      <c r="AA52">
        <f>0.5*V52+0.5*X52</f>
        <v/>
      </c>
      <c r="AB52">
        <f>Settings!$B$3+Settings!$B$4*W52</f>
        <v/>
      </c>
      <c r="AC52">
        <f>Z52</f>
        <v/>
      </c>
      <c r="AD52">
        <f>0.5*V52+0.5*Z52</f>
        <v/>
      </c>
      <c r="AE52">
        <f>(X52+Y52+V52)/3</f>
        <v/>
      </c>
      <c r="AF52">
        <f>0.7*X52+0.3*V52</f>
        <v/>
      </c>
    </row>
    <row r="53">
      <c r="A53" t="inlineStr">
        <is>
          <t>1997-10-01</t>
        </is>
      </c>
      <c r="B53" t="n">
        <v>582932.1145223164</v>
      </c>
      <c r="C53" t="n">
        <v>321901.2329336952</v>
      </c>
      <c r="D53" t="n">
        <v>66.49456495889036</v>
      </c>
      <c r="E53" t="n">
        <v>0.6160386687275122</v>
      </c>
      <c r="F53" t="n">
        <v>0.832795137505739</v>
      </c>
      <c r="G53" t="n">
        <v>2.315249373765158</v>
      </c>
      <c r="H53" t="n">
        <v>85.72493036742783</v>
      </c>
      <c r="I53" t="n">
        <v>1327.582601691009</v>
      </c>
      <c r="J53" t="n">
        <v>823.0856361385511</v>
      </c>
      <c r="K53" t="n">
        <v>2.664802216167118</v>
      </c>
      <c r="L53" t="n">
        <v>4.787303244912437</v>
      </c>
      <c r="M53" t="n">
        <v>0.1626901707127217</v>
      </c>
      <c r="N53" t="n">
        <v>0.2203403212220678</v>
      </c>
      <c r="O53" t="n">
        <v>0.2203403212220678</v>
      </c>
      <c r="P53" t="n">
        <v>0.3956983475054444</v>
      </c>
      <c r="Q53" t="n">
        <v>2.09490905254309</v>
      </c>
      <c r="R53" t="n">
        <v>0.6124548162836712</v>
      </c>
      <c r="S53">
        <f>Q53-P53</f>
        <v/>
      </c>
      <c r="T53">
        <f>Q53-Settings!$B$5</f>
        <v/>
      </c>
      <c r="U53">
        <f>0.5*(P53+T53)</f>
        <v/>
      </c>
      <c r="V53">
        <f>AVERAGE(K34:K53)</f>
        <v/>
      </c>
      <c r="W53">
        <f>AVERAGE(L34:L53)</f>
        <v/>
      </c>
      <c r="X53">
        <f>AVERAGE(P34:P53)</f>
        <v/>
      </c>
      <c r="Y53">
        <f>AVERAGE(T34:T53)</f>
        <v/>
      </c>
      <c r="Z53">
        <f>AVERAGE(U34:U53)</f>
        <v/>
      </c>
      <c r="AA53">
        <f>0.5*V53+0.5*X53</f>
        <v/>
      </c>
      <c r="AB53">
        <f>Settings!$B$3+Settings!$B$4*W53</f>
        <v/>
      </c>
      <c r="AC53">
        <f>Z53</f>
        <v/>
      </c>
      <c r="AD53">
        <f>0.5*V53+0.5*Z53</f>
        <v/>
      </c>
      <c r="AE53">
        <f>(X53+Y53+V53)/3</f>
        <v/>
      </c>
      <c r="AF53">
        <f>0.7*X53+0.3*V53</f>
        <v/>
      </c>
    </row>
    <row r="54">
      <c r="A54" t="inlineStr">
        <is>
          <t>1998-01-01</t>
        </is>
      </c>
      <c r="B54" t="n">
        <v>582795.2102873219</v>
      </c>
      <c r="C54" t="n">
        <v>321228.0531489496</v>
      </c>
      <c r="D54" t="n">
        <v>66.45008901343883</v>
      </c>
      <c r="E54" t="n">
        <v>0.4873311215525993</v>
      </c>
      <c r="F54" t="n">
        <v>0.6806850380806753</v>
      </c>
      <c r="G54" t="n">
        <v>2.359759389298222</v>
      </c>
      <c r="H54" t="n">
        <v>85.74930681584804</v>
      </c>
      <c r="I54" t="n">
        <v>1327.559113481939</v>
      </c>
      <c r="J54" t="n">
        <v>822.8478593578602</v>
      </c>
      <c r="K54" t="n">
        <v>-0.09395283628327888</v>
      </c>
      <c r="L54" t="n">
        <v>-0.9511071227634602</v>
      </c>
      <c r="M54" t="n">
        <v>-0.2676358666969918</v>
      </c>
      <c r="N54" t="n">
        <v>0.09381848121273606</v>
      </c>
      <c r="O54" t="n">
        <v>0.09381848121273606</v>
      </c>
      <c r="P54" t="n">
        <v>0.3935126403398632</v>
      </c>
      <c r="Q54" t="n">
        <v>2.265940908085486</v>
      </c>
      <c r="R54" t="n">
        <v>0.5868665568679392</v>
      </c>
      <c r="S54">
        <f>Q54-P54</f>
        <v/>
      </c>
      <c r="T54">
        <f>Q54-Settings!$B$5</f>
        <v/>
      </c>
      <c r="U54">
        <f>0.5*(P54+T54)</f>
        <v/>
      </c>
      <c r="V54">
        <f>AVERAGE(K35:K54)</f>
        <v/>
      </c>
      <c r="W54">
        <f>AVERAGE(L35:L54)</f>
        <v/>
      </c>
      <c r="X54">
        <f>AVERAGE(P35:P54)</f>
        <v/>
      </c>
      <c r="Y54">
        <f>AVERAGE(T35:T54)</f>
        <v/>
      </c>
      <c r="Z54">
        <f>AVERAGE(U35:U54)</f>
        <v/>
      </c>
      <c r="AA54">
        <f>0.5*V54+0.5*X54</f>
        <v/>
      </c>
      <c r="AB54">
        <f>Settings!$B$3+Settings!$B$4*W54</f>
        <v/>
      </c>
      <c r="AC54">
        <f>Z54</f>
        <v/>
      </c>
      <c r="AD54">
        <f>0.5*V54+0.5*Z54</f>
        <v/>
      </c>
      <c r="AE54">
        <f>(X54+Y54+V54)/3</f>
        <v/>
      </c>
      <c r="AF54">
        <f>0.7*X54+0.3*V54</f>
        <v/>
      </c>
    </row>
    <row r="55">
      <c r="A55" t="inlineStr">
        <is>
          <t>1998-04-01</t>
        </is>
      </c>
      <c r="B55" t="n">
        <v>584340.8668533792</v>
      </c>
      <c r="C55" t="n">
        <v>323111.3757493438</v>
      </c>
      <c r="D55" t="n">
        <v>66.46551805731855</v>
      </c>
      <c r="E55" t="n">
        <v>0.367040756430997</v>
      </c>
      <c r="F55" t="n">
        <v>0.5864652971522811</v>
      </c>
      <c r="G55" t="n">
        <v>2.173340993264467</v>
      </c>
      <c r="H55" t="n">
        <v>85.64711143270053</v>
      </c>
      <c r="I55" t="n">
        <v>1327.823976765651</v>
      </c>
      <c r="J55" t="n">
        <v>823.5516860375004</v>
      </c>
      <c r="K55" t="n">
        <v>1.059453134850628</v>
      </c>
      <c r="L55" t="n">
        <v>2.815306718560805</v>
      </c>
      <c r="M55" t="n">
        <v>0.09286520545811072</v>
      </c>
      <c r="N55" t="n">
        <v>0.1922989544822258</v>
      </c>
      <c r="O55" t="n">
        <v>0.1922989544822258</v>
      </c>
      <c r="P55" t="n">
        <v>0.1747418019487712</v>
      </c>
      <c r="Q55" t="n">
        <v>1.981042038782241</v>
      </c>
      <c r="R55" t="n">
        <v>0.3941663426700553</v>
      </c>
      <c r="S55">
        <f>Q55-P55</f>
        <v/>
      </c>
      <c r="T55">
        <f>Q55-Settings!$B$5</f>
        <v/>
      </c>
      <c r="U55">
        <f>0.5*(P55+T55)</f>
        <v/>
      </c>
      <c r="V55">
        <f>AVERAGE(K36:K55)</f>
        <v/>
      </c>
      <c r="W55">
        <f>AVERAGE(L36:L55)</f>
        <v/>
      </c>
      <c r="X55">
        <f>AVERAGE(P36:P55)</f>
        <v/>
      </c>
      <c r="Y55">
        <f>AVERAGE(T36:T55)</f>
        <v/>
      </c>
      <c r="Z55">
        <f>AVERAGE(U36:U55)</f>
        <v/>
      </c>
      <c r="AA55">
        <f>0.5*V55+0.5*X55</f>
        <v/>
      </c>
      <c r="AB55">
        <f>Settings!$B$3+Settings!$B$4*W55</f>
        <v/>
      </c>
      <c r="AC55">
        <f>Z55</f>
        <v/>
      </c>
      <c r="AD55">
        <f>0.5*V55+0.5*Z55</f>
        <v/>
      </c>
      <c r="AE55">
        <f>(X55+Y55+V55)/3</f>
        <v/>
      </c>
      <c r="AF55">
        <f>0.7*X55+0.3*V55</f>
        <v/>
      </c>
    </row>
    <row r="56">
      <c r="A56" t="inlineStr">
        <is>
          <t>1998-07-01</t>
        </is>
      </c>
      <c r="B56" t="n">
        <v>585386.6732658333</v>
      </c>
      <c r="C56" t="n">
        <v>321763.7515264302</v>
      </c>
      <c r="D56" t="n">
        <v>66.33592416592059</v>
      </c>
      <c r="E56" t="n">
        <v>0.2601694120309972</v>
      </c>
      <c r="F56" t="n">
        <v>0.4597600082771383</v>
      </c>
      <c r="G56" t="n">
        <v>1.870974786699806</v>
      </c>
      <c r="H56" t="n">
        <v>85.69028393196213</v>
      </c>
      <c r="I56" t="n">
        <v>1328.002788780456</v>
      </c>
      <c r="J56" t="n">
        <v>823.0833418178024</v>
      </c>
      <c r="K56" t="n">
        <v>0.7152480592185384</v>
      </c>
      <c r="L56" t="n">
        <v>-1.873376878791987</v>
      </c>
      <c r="M56" t="n">
        <v>-0.7806778623175887</v>
      </c>
      <c r="N56" t="n">
        <v>-0.198189588210937</v>
      </c>
      <c r="O56" t="n">
        <v>-0.198189588210937</v>
      </c>
      <c r="P56" t="n">
        <v>0.4583590002419342</v>
      </c>
      <c r="Q56" t="n">
        <v>2.069164374910743</v>
      </c>
      <c r="R56" t="n">
        <v>0.6579495964880753</v>
      </c>
      <c r="S56">
        <f>Q56-P56</f>
        <v/>
      </c>
      <c r="T56">
        <f>Q56-Settings!$B$5</f>
        <v/>
      </c>
      <c r="U56">
        <f>0.5*(P56+T56)</f>
        <v/>
      </c>
      <c r="V56">
        <f>AVERAGE(K37:K56)</f>
        <v/>
      </c>
      <c r="W56">
        <f>AVERAGE(L37:L56)</f>
        <v/>
      </c>
      <c r="X56">
        <f>AVERAGE(P37:P56)</f>
        <v/>
      </c>
      <c r="Y56">
        <f>AVERAGE(T37:T56)</f>
        <v/>
      </c>
      <c r="Z56">
        <f>AVERAGE(U37:U56)</f>
        <v/>
      </c>
      <c r="AA56">
        <f>0.5*V56+0.5*X56</f>
        <v/>
      </c>
      <c r="AB56">
        <f>Settings!$B$3+Settings!$B$4*W56</f>
        <v/>
      </c>
      <c r="AC56">
        <f>Z56</f>
        <v/>
      </c>
      <c r="AD56">
        <f>0.5*V56+0.5*Z56</f>
        <v/>
      </c>
      <c r="AE56">
        <f>(X56+Y56+V56)/3</f>
        <v/>
      </c>
      <c r="AF56">
        <f>0.7*X56+0.3*V56</f>
        <v/>
      </c>
    </row>
    <row r="57">
      <c r="A57" t="inlineStr">
        <is>
          <t>1998-10-01</t>
        </is>
      </c>
      <c r="B57" t="n">
        <v>585977.0615869962</v>
      </c>
      <c r="C57" t="n">
        <v>321391.4573836981</v>
      </c>
      <c r="D57" t="n">
        <v>66.22399487786444</v>
      </c>
      <c r="E57" t="n">
        <v>0.0745731979028446</v>
      </c>
      <c r="F57" t="n">
        <v>0.2956231073455316</v>
      </c>
      <c r="G57" t="n">
        <v>1.678714053863142</v>
      </c>
      <c r="H57" t="n">
        <v>85.65887006843461</v>
      </c>
      <c r="I57" t="n">
        <v>1328.103592374351</v>
      </c>
      <c r="J57" t="n">
        <v>823.0042371330139</v>
      </c>
      <c r="K57" t="n">
        <v>0.4032143755794095</v>
      </c>
      <c r="L57" t="n">
        <v>-0.3164187391539599</v>
      </c>
      <c r="M57" t="n">
        <v>-0.6754941642316226</v>
      </c>
      <c r="N57" t="n">
        <v>-0.4077356719470231</v>
      </c>
      <c r="O57" t="n">
        <v>-0.4077356719470231</v>
      </c>
      <c r="P57" t="n">
        <v>0.4823088698498677</v>
      </c>
      <c r="Q57" t="n">
        <v>2.086449725810165</v>
      </c>
      <c r="R57" t="n">
        <v>0.7033587792925546</v>
      </c>
      <c r="S57">
        <f>Q57-P57</f>
        <v/>
      </c>
      <c r="T57">
        <f>Q57-Settings!$B$5</f>
        <v/>
      </c>
      <c r="U57">
        <f>0.5*(P57+T57)</f>
        <v/>
      </c>
      <c r="V57">
        <f>AVERAGE(K38:K57)</f>
        <v/>
      </c>
      <c r="W57">
        <f>AVERAGE(L38:L57)</f>
        <v/>
      </c>
      <c r="X57">
        <f>AVERAGE(P38:P57)</f>
        <v/>
      </c>
      <c r="Y57">
        <f>AVERAGE(T38:T57)</f>
        <v/>
      </c>
      <c r="Z57">
        <f>AVERAGE(U38:U57)</f>
        <v/>
      </c>
      <c r="AA57">
        <f>0.5*V57+0.5*X57</f>
        <v/>
      </c>
      <c r="AB57">
        <f>Settings!$B$3+Settings!$B$4*W57</f>
        <v/>
      </c>
      <c r="AC57">
        <f>Z57</f>
        <v/>
      </c>
      <c r="AD57">
        <f>0.5*V57+0.5*Z57</f>
        <v/>
      </c>
      <c r="AE57">
        <f>(X57+Y57+V57)/3</f>
        <v/>
      </c>
      <c r="AF57">
        <f>0.7*X57+0.3*V57</f>
        <v/>
      </c>
    </row>
    <row r="58">
      <c r="A58" t="inlineStr">
        <is>
          <t>1999-01-01</t>
        </is>
      </c>
      <c r="B58" t="n">
        <v>587130.640581316</v>
      </c>
      <c r="C58" t="n">
        <v>322632.8261259386</v>
      </c>
      <c r="D58" t="n">
        <v>66.09492056552769</v>
      </c>
      <c r="E58" t="n">
        <v>0.1353424820449525</v>
      </c>
      <c r="F58" t="n">
        <v>0.3042901386237333</v>
      </c>
      <c r="G58" t="n">
        <v>1.934110552752021</v>
      </c>
      <c r="H58" t="n">
        <v>85.55226040914346</v>
      </c>
      <c r="I58" t="n">
        <v>1328.300263040483</v>
      </c>
      <c r="J58" t="n">
        <v>823.5142772310209</v>
      </c>
      <c r="K58" t="n">
        <v>0.7866826645276888</v>
      </c>
      <c r="L58" t="n">
        <v>2.040160392027701</v>
      </c>
      <c r="M58" t="n">
        <v>-0.7803833811360619</v>
      </c>
      <c r="N58" t="n">
        <v>-0.5359225505567906</v>
      </c>
      <c r="O58" t="n">
        <v>-0.5359225505567906</v>
      </c>
      <c r="P58" t="n">
        <v>0.6712650326017431</v>
      </c>
      <c r="Q58" t="n">
        <v>2.470033103308812</v>
      </c>
      <c r="R58" t="n">
        <v>0.8402126891805239</v>
      </c>
      <c r="S58">
        <f>Q58-P58</f>
        <v/>
      </c>
      <c r="T58">
        <f>Q58-Settings!$B$5</f>
        <v/>
      </c>
      <c r="U58">
        <f>0.5*(P58+T58)</f>
        <v/>
      </c>
      <c r="V58">
        <f>AVERAGE(K39:K58)</f>
        <v/>
      </c>
      <c r="W58">
        <f>AVERAGE(L39:L58)</f>
        <v/>
      </c>
      <c r="X58">
        <f>AVERAGE(P39:P58)</f>
        <v/>
      </c>
      <c r="Y58">
        <f>AVERAGE(T39:T58)</f>
        <v/>
      </c>
      <c r="Z58">
        <f>AVERAGE(U39:U58)</f>
        <v/>
      </c>
      <c r="AA58">
        <f>0.5*V58+0.5*X58</f>
        <v/>
      </c>
      <c r="AB58">
        <f>Settings!$B$3+Settings!$B$4*W58</f>
        <v/>
      </c>
      <c r="AC58">
        <f>Z58</f>
        <v/>
      </c>
      <c r="AD58">
        <f>0.5*V58+0.5*Z58</f>
        <v/>
      </c>
      <c r="AE58">
        <f>(X58+Y58+V58)/3</f>
        <v/>
      </c>
      <c r="AF58">
        <f>0.7*X58+0.3*V58</f>
        <v/>
      </c>
    </row>
    <row r="59">
      <c r="A59" t="inlineStr">
        <is>
          <t>1999-04-01</t>
        </is>
      </c>
      <c r="B59" t="n">
        <v>591425.9979675853</v>
      </c>
      <c r="C59" t="n">
        <v>325599.9735525298</v>
      </c>
      <c r="D59" t="n">
        <v>66.00604290424751</v>
      </c>
      <c r="E59" t="n">
        <v>0.1331332985192742</v>
      </c>
      <c r="F59" t="n">
        <v>0.3327707589956262</v>
      </c>
      <c r="G59" t="n">
        <v>1.911036566740639</v>
      </c>
      <c r="H59" t="n">
        <v>85.62369470641087</v>
      </c>
      <c r="I59" t="n">
        <v>1329.029184547418</v>
      </c>
      <c r="J59" t="n">
        <v>824.3462779722142</v>
      </c>
      <c r="K59" t="n">
        <v>2.915686027741685</v>
      </c>
      <c r="L59" t="n">
        <v>3.328002964773532</v>
      </c>
      <c r="M59" t="n">
        <v>-0.5382408870075324</v>
      </c>
      <c r="N59" t="n">
        <v>-0.6936990736732014</v>
      </c>
      <c r="O59" t="n">
        <v>-0.6936990736732014</v>
      </c>
      <c r="P59" t="n">
        <v>0.8268323721924755</v>
      </c>
      <c r="Q59" t="n">
        <v>2.60473564041384</v>
      </c>
      <c r="R59" t="n">
        <v>1.026469832668828</v>
      </c>
      <c r="S59">
        <f>Q59-P59</f>
        <v/>
      </c>
      <c r="T59">
        <f>Q59-Settings!$B$5</f>
        <v/>
      </c>
      <c r="U59">
        <f>0.5*(P59+T59)</f>
        <v/>
      </c>
      <c r="V59">
        <f>AVERAGE(K40:K59)</f>
        <v/>
      </c>
      <c r="W59">
        <f>AVERAGE(L40:L59)</f>
        <v/>
      </c>
      <c r="X59">
        <f>AVERAGE(P40:P59)</f>
        <v/>
      </c>
      <c r="Y59">
        <f>AVERAGE(T40:T59)</f>
        <v/>
      </c>
      <c r="Z59">
        <f>AVERAGE(U40:U59)</f>
        <v/>
      </c>
      <c r="AA59">
        <f>0.5*V59+0.5*X59</f>
        <v/>
      </c>
      <c r="AB59">
        <f>Settings!$B$3+Settings!$B$4*W59</f>
        <v/>
      </c>
      <c r="AC59">
        <f>Z59</f>
        <v/>
      </c>
      <c r="AD59">
        <f>0.5*V59+0.5*Z59</f>
        <v/>
      </c>
      <c r="AE59">
        <f>(X59+Y59+V59)/3</f>
        <v/>
      </c>
      <c r="AF59">
        <f>0.7*X59+0.3*V59</f>
        <v/>
      </c>
    </row>
    <row r="60">
      <c r="A60" t="inlineStr">
        <is>
          <t>1999-07-01</t>
        </is>
      </c>
      <c r="B60" t="n">
        <v>591639.6433741207</v>
      </c>
      <c r="C60" t="n">
        <v>325631.7141957054</v>
      </c>
      <c r="D60" t="n">
        <v>65.97830820505314</v>
      </c>
      <c r="E60" t="n">
        <v>0.119251896882805</v>
      </c>
      <c r="F60" t="n">
        <v>0.3129311964519103</v>
      </c>
      <c r="G60" t="n">
        <v>1.908909885525342</v>
      </c>
      <c r="H60" t="n">
        <v>85.58492831726858</v>
      </c>
      <c r="I60" t="n">
        <v>1329.065301800999</v>
      </c>
      <c r="J60" t="n">
        <v>824.4013114102765</v>
      </c>
      <c r="K60" t="n">
        <v>0.1444690143252956</v>
      </c>
      <c r="L60" t="n">
        <v>0.2201337522492395</v>
      </c>
      <c r="M60" t="n">
        <v>-0.1681090181946274</v>
      </c>
      <c r="N60" t="n">
        <v>-0.5405568626424611</v>
      </c>
      <c r="O60" t="n">
        <v>-0.5405568626424611</v>
      </c>
      <c r="P60" t="n">
        <v>0.6598087595252661</v>
      </c>
      <c r="Q60" t="n">
        <v>2.449466748167803</v>
      </c>
      <c r="R60" t="n">
        <v>0.8534880590943714</v>
      </c>
      <c r="S60">
        <f>Q60-P60</f>
        <v/>
      </c>
      <c r="T60">
        <f>Q60-Settings!$B$5</f>
        <v/>
      </c>
      <c r="U60">
        <f>0.5*(P60+T60)</f>
        <v/>
      </c>
      <c r="V60">
        <f>AVERAGE(K41:K60)</f>
        <v/>
      </c>
      <c r="W60">
        <f>AVERAGE(L41:L60)</f>
        <v/>
      </c>
      <c r="X60">
        <f>AVERAGE(P41:P60)</f>
        <v/>
      </c>
      <c r="Y60">
        <f>AVERAGE(T41:T60)</f>
        <v/>
      </c>
      <c r="Z60">
        <f>AVERAGE(U41:U60)</f>
        <v/>
      </c>
      <c r="AA60">
        <f>0.5*V60+0.5*X60</f>
        <v/>
      </c>
      <c r="AB60">
        <f>Settings!$B$3+Settings!$B$4*W60</f>
        <v/>
      </c>
      <c r="AC60">
        <f>Z60</f>
        <v/>
      </c>
      <c r="AD60">
        <f>0.5*V60+0.5*Z60</f>
        <v/>
      </c>
      <c r="AE60">
        <f>(X60+Y60+V60)/3</f>
        <v/>
      </c>
      <c r="AF60">
        <f>0.7*X60+0.3*V60</f>
        <v/>
      </c>
    </row>
    <row r="61">
      <c r="A61" t="inlineStr">
        <is>
          <t>1999-10-01</t>
        </is>
      </c>
      <c r="B61" t="n">
        <v>595290.3819611372</v>
      </c>
      <c r="C61" t="n">
        <v>325992.6288949098</v>
      </c>
      <c r="D61" t="n">
        <v>65.95476744480447</v>
      </c>
      <c r="E61" t="n">
        <v>0.1278266721375631</v>
      </c>
      <c r="F61" t="n">
        <v>0.2913499444144392</v>
      </c>
      <c r="G61" t="n">
        <v>1.925028426484541</v>
      </c>
      <c r="H61" t="n">
        <v>85.53009629436863</v>
      </c>
      <c r="I61" t="n">
        <v>1329.680460238596</v>
      </c>
      <c r="J61" t="n">
        <v>824.5761731894461</v>
      </c>
      <c r="K61" t="n">
        <v>2.460633750387387</v>
      </c>
      <c r="L61" t="n">
        <v>0.6994471166781295</v>
      </c>
      <c r="M61" t="n">
        <v>-0.1427436471562942</v>
      </c>
      <c r="N61" t="n">
        <v>-0.407369233373629</v>
      </c>
      <c r="O61" t="n">
        <v>-0.407369233373629</v>
      </c>
      <c r="P61" t="n">
        <v>0.5351959055111921</v>
      </c>
      <c r="Q61" t="n">
        <v>2.33239765985817</v>
      </c>
      <c r="R61" t="n">
        <v>0.6987191777880681</v>
      </c>
      <c r="S61">
        <f>Q61-P61</f>
        <v/>
      </c>
      <c r="T61">
        <f>Q61-Settings!$B$5</f>
        <v/>
      </c>
      <c r="U61">
        <f>0.5*(P61+T61)</f>
        <v/>
      </c>
      <c r="V61">
        <f>AVERAGE(K42:K61)</f>
        <v/>
      </c>
      <c r="W61">
        <f>AVERAGE(L42:L61)</f>
        <v/>
      </c>
      <c r="X61">
        <f>AVERAGE(P42:P61)</f>
        <v/>
      </c>
      <c r="Y61">
        <f>AVERAGE(T42:T61)</f>
        <v/>
      </c>
      <c r="Z61">
        <f>AVERAGE(U42:U61)</f>
        <v/>
      </c>
      <c r="AA61">
        <f>0.5*V61+0.5*X61</f>
        <v/>
      </c>
      <c r="AB61">
        <f>Settings!$B$3+Settings!$B$4*W61</f>
        <v/>
      </c>
      <c r="AC61">
        <f>Z61</f>
        <v/>
      </c>
      <c r="AD61">
        <f>0.5*V61+0.5*Z61</f>
        <v/>
      </c>
      <c r="AE61">
        <f>(X61+Y61+V61)/3</f>
        <v/>
      </c>
      <c r="AF61">
        <f>0.7*X61+0.3*V61</f>
        <v/>
      </c>
    </row>
    <row r="62">
      <c r="A62" t="inlineStr">
        <is>
          <t>2000-01-01</t>
        </is>
      </c>
      <c r="B62" t="n">
        <v>594461.5457752493</v>
      </c>
      <c r="C62" t="n">
        <v>327072.2155268237</v>
      </c>
      <c r="D62" t="n">
        <v>65.91897728288518</v>
      </c>
      <c r="E62" t="n">
        <v>0.1148209000404329</v>
      </c>
      <c r="F62" t="n">
        <v>0.2679165616043724</v>
      </c>
      <c r="G62" t="n">
        <v>1.937376883991451</v>
      </c>
      <c r="H62" t="n">
        <v>85.46188382709862</v>
      </c>
      <c r="I62" t="n">
        <v>1329.541130971604</v>
      </c>
      <c r="J62" t="n">
        <v>824.9865794735831</v>
      </c>
      <c r="K62" t="n">
        <v>-0.557317067969052</v>
      </c>
      <c r="L62" t="n">
        <v>1.6416251365481</v>
      </c>
      <c r="M62" t="n">
        <v>-0.2171177462014384</v>
      </c>
      <c r="N62" t="n">
        <v>-0.2665528246399731</v>
      </c>
      <c r="O62" t="n">
        <v>-0.2665528246399731</v>
      </c>
      <c r="P62" t="n">
        <v>0.381373724680406</v>
      </c>
      <c r="Q62" t="n">
        <v>2.203929708631424</v>
      </c>
      <c r="R62" t="n">
        <v>0.5344693862443455</v>
      </c>
      <c r="S62">
        <f>Q62-P62</f>
        <v/>
      </c>
      <c r="T62">
        <f>Q62-Settings!$B$5</f>
        <v/>
      </c>
      <c r="U62">
        <f>0.5*(P62+T62)</f>
        <v/>
      </c>
      <c r="V62">
        <f>AVERAGE(K43:K62)</f>
        <v/>
      </c>
      <c r="W62">
        <f>AVERAGE(L43:L62)</f>
        <v/>
      </c>
      <c r="X62">
        <f>AVERAGE(P43:P62)</f>
        <v/>
      </c>
      <c r="Y62">
        <f>AVERAGE(T43:T62)</f>
        <v/>
      </c>
      <c r="Z62">
        <f>AVERAGE(U43:U62)</f>
        <v/>
      </c>
      <c r="AA62">
        <f>0.5*V62+0.5*X62</f>
        <v/>
      </c>
      <c r="AB62">
        <f>Settings!$B$3+Settings!$B$4*W62</f>
        <v/>
      </c>
      <c r="AC62">
        <f>Z62</f>
        <v/>
      </c>
      <c r="AD62">
        <f>0.5*V62+0.5*Z62</f>
        <v/>
      </c>
      <c r="AE62">
        <f>(X62+Y62+V62)/3</f>
        <v/>
      </c>
      <c r="AF62">
        <f>0.7*X62+0.3*V62</f>
        <v/>
      </c>
    </row>
    <row r="63">
      <c r="A63" t="inlineStr">
        <is>
          <t>2000-04-01</t>
        </is>
      </c>
      <c r="B63" t="n">
        <v>596344.0789062248</v>
      </c>
      <c r="C63" t="n">
        <v>328288.8058641988</v>
      </c>
      <c r="D63" t="n">
        <v>65.79979985100505</v>
      </c>
      <c r="E63" t="n">
        <v>0.2017536651365533</v>
      </c>
      <c r="F63" t="n">
        <v>0.4223261361947932</v>
      </c>
      <c r="G63" t="n">
        <v>2.096518626121384</v>
      </c>
      <c r="H63" t="n">
        <v>85.43203969907121</v>
      </c>
      <c r="I63" t="n">
        <v>1329.857309306715</v>
      </c>
      <c r="J63" t="n">
        <v>825.3927803076749</v>
      </c>
      <c r="K63" t="n">
        <v>1.26471334044345</v>
      </c>
      <c r="L63" t="n">
        <v>1.624803336367222</v>
      </c>
      <c r="M63" t="n">
        <v>-0.723829765167693</v>
      </c>
      <c r="N63" t="n">
        <v>-0.3129500441800133</v>
      </c>
      <c r="O63" t="n">
        <v>-0.3129500441800133</v>
      </c>
      <c r="P63" t="n">
        <v>0.5147037093165665</v>
      </c>
      <c r="Q63" t="n">
        <v>2.409468670301397</v>
      </c>
      <c r="R63" t="n">
        <v>0.7352761803748065</v>
      </c>
      <c r="S63">
        <f>Q63-P63</f>
        <v/>
      </c>
      <c r="T63">
        <f>Q63-Settings!$B$5</f>
        <v/>
      </c>
      <c r="U63">
        <f>0.5*(P63+T63)</f>
        <v/>
      </c>
      <c r="V63">
        <f>AVERAGE(K44:K63)</f>
        <v/>
      </c>
      <c r="W63">
        <f>AVERAGE(L44:L63)</f>
        <v/>
      </c>
      <c r="X63">
        <f>AVERAGE(P44:P63)</f>
        <v/>
      </c>
      <c r="Y63">
        <f>AVERAGE(T44:T63)</f>
        <v/>
      </c>
      <c r="Z63">
        <f>AVERAGE(U44:U63)</f>
        <v/>
      </c>
      <c r="AA63">
        <f>0.5*V63+0.5*X63</f>
        <v/>
      </c>
      <c r="AB63">
        <f>Settings!$B$3+Settings!$B$4*W63</f>
        <v/>
      </c>
      <c r="AC63">
        <f>Z63</f>
        <v/>
      </c>
      <c r="AD63">
        <f>0.5*V63+0.5*Z63</f>
        <v/>
      </c>
      <c r="AE63">
        <f>(X63+Y63+V63)/3</f>
        <v/>
      </c>
      <c r="AF63">
        <f>0.7*X63+0.3*V63</f>
        <v/>
      </c>
    </row>
    <row r="64">
      <c r="A64" t="inlineStr">
        <is>
          <t>2000-07-01</t>
        </is>
      </c>
      <c r="B64" t="n">
        <v>599481.0370013684</v>
      </c>
      <c r="C64" t="n">
        <v>333051.5350794232</v>
      </c>
      <c r="D64" t="n">
        <v>65.63664934398186</v>
      </c>
      <c r="E64" t="n">
        <v>0.09564529144737451</v>
      </c>
      <c r="F64" t="n">
        <v>0.2851167199808351</v>
      </c>
      <c r="G64" t="n">
        <v>1.784534801355619</v>
      </c>
      <c r="H64" t="n">
        <v>85.42311687115485</v>
      </c>
      <c r="I64" t="n">
        <v>1330.381962159224</v>
      </c>
      <c r="J64" t="n">
        <v>826.84357634642</v>
      </c>
      <c r="K64" t="n">
        <v>2.098611410036938</v>
      </c>
      <c r="L64" t="n">
        <v>5.803184154980499</v>
      </c>
      <c r="M64" t="n">
        <v>-0.9930310309898687</v>
      </c>
      <c r="N64" t="n">
        <v>-0.5191805473788236</v>
      </c>
      <c r="O64" t="n">
        <v>-0.5191805473788236</v>
      </c>
      <c r="P64" t="n">
        <v>0.6148258388261981</v>
      </c>
      <c r="Q64" t="n">
        <v>2.303715348734442</v>
      </c>
      <c r="R64" t="n">
        <v>0.8042972673596587</v>
      </c>
      <c r="S64">
        <f>Q64-P64</f>
        <v/>
      </c>
      <c r="T64">
        <f>Q64-Settings!$B$5</f>
        <v/>
      </c>
      <c r="U64">
        <f>0.5*(P64+T64)</f>
        <v/>
      </c>
      <c r="V64">
        <f>AVERAGE(K45:K64)</f>
        <v/>
      </c>
      <c r="W64">
        <f>AVERAGE(L45:L64)</f>
        <v/>
      </c>
      <c r="X64">
        <f>AVERAGE(P45:P64)</f>
        <v/>
      </c>
      <c r="Y64">
        <f>AVERAGE(T45:T64)</f>
        <v/>
      </c>
      <c r="Z64">
        <f>AVERAGE(U45:U64)</f>
        <v/>
      </c>
      <c r="AA64">
        <f>0.5*V64+0.5*X64</f>
        <v/>
      </c>
      <c r="AB64">
        <f>Settings!$B$3+Settings!$B$4*W64</f>
        <v/>
      </c>
      <c r="AC64">
        <f>Z64</f>
        <v/>
      </c>
      <c r="AD64">
        <f>0.5*V64+0.5*Z64</f>
        <v/>
      </c>
      <c r="AE64">
        <f>(X64+Y64+V64)/3</f>
        <v/>
      </c>
      <c r="AF64">
        <f>0.7*X64+0.3*V64</f>
        <v/>
      </c>
    </row>
    <row r="65">
      <c r="A65" t="inlineStr">
        <is>
          <t>2000-10-01</t>
        </is>
      </c>
      <c r="B65" t="n">
        <v>603791.4741395321</v>
      </c>
      <c r="C65" t="n">
        <v>334587.7826290153</v>
      </c>
      <c r="D65" t="n">
        <v>65.59011405156784</v>
      </c>
      <c r="E65" t="n">
        <v>0.0846458390832711</v>
      </c>
      <c r="F65" t="n">
        <v>0.2539774306338513</v>
      </c>
      <c r="G65" t="n">
        <v>1.767448679793192</v>
      </c>
      <c r="H65" t="n">
        <v>85.45212972316459</v>
      </c>
      <c r="I65" t="n">
        <v>1331.098417581655</v>
      </c>
      <c r="J65" t="n">
        <v>827.2698220636967</v>
      </c>
      <c r="K65" t="n">
        <v>2.865821689722907</v>
      </c>
      <c r="L65" t="n">
        <v>1.704982869106516</v>
      </c>
      <c r="M65" t="n">
        <v>-0.2836939243827601</v>
      </c>
      <c r="N65" t="n">
        <v>-0.5544181166854401</v>
      </c>
      <c r="O65" t="n">
        <v>-0.5544181166854401</v>
      </c>
      <c r="P65" t="n">
        <v>0.6390639557687111</v>
      </c>
      <c r="Q65" t="n">
        <v>2.321866796478631</v>
      </c>
      <c r="R65" t="n">
        <v>0.8083955473192914</v>
      </c>
      <c r="S65">
        <f>Q65-P65</f>
        <v/>
      </c>
      <c r="T65">
        <f>Q65-Settings!$B$5</f>
        <v/>
      </c>
      <c r="U65">
        <f>0.5*(P65+T65)</f>
        <v/>
      </c>
      <c r="V65">
        <f>AVERAGE(K46:K65)</f>
        <v/>
      </c>
      <c r="W65">
        <f>AVERAGE(L46:L65)</f>
        <v/>
      </c>
      <c r="X65">
        <f>AVERAGE(P46:P65)</f>
        <v/>
      </c>
      <c r="Y65">
        <f>AVERAGE(T46:T65)</f>
        <v/>
      </c>
      <c r="Z65">
        <f>AVERAGE(U46:U65)</f>
        <v/>
      </c>
      <c r="AA65">
        <f>0.5*V65+0.5*X65</f>
        <v/>
      </c>
      <c r="AB65">
        <f>Settings!$B$3+Settings!$B$4*W65</f>
        <v/>
      </c>
      <c r="AC65">
        <f>Z65</f>
        <v/>
      </c>
      <c r="AD65">
        <f>0.5*V65+0.5*Z65</f>
        <v/>
      </c>
      <c r="AE65">
        <f>(X65+Y65+V65)/3</f>
        <v/>
      </c>
      <c r="AF65">
        <f>0.7*X65+0.3*V65</f>
        <v/>
      </c>
    </row>
    <row r="66">
      <c r="A66" t="inlineStr">
        <is>
          <t>2001-01-01</t>
        </is>
      </c>
      <c r="B66" t="n">
        <v>608772.6173021329</v>
      </c>
      <c r="C66" t="n">
        <v>333684.138771872</v>
      </c>
      <c r="D66" t="n">
        <v>65.51775352741853</v>
      </c>
      <c r="E66" t="n">
        <v>0.0623236209821311</v>
      </c>
      <c r="F66" t="n">
        <v>0.2594382528744312</v>
      </c>
      <c r="G66" t="n">
        <v>1.752991235193393</v>
      </c>
      <c r="H66" t="n">
        <v>85.35221874162994</v>
      </c>
      <c r="I66" t="n">
        <v>1331.920010636782</v>
      </c>
      <c r="J66" t="n">
        <v>827.1163687506233</v>
      </c>
      <c r="K66" t="n">
        <v>3.286372220510202</v>
      </c>
      <c r="L66" t="n">
        <v>-0.613813252293312</v>
      </c>
      <c r="M66" t="n">
        <v>-0.4415328100915303</v>
      </c>
      <c r="N66" t="n">
        <v>-0.610521882657963</v>
      </c>
      <c r="O66" t="n">
        <v>-0.610521882657963</v>
      </c>
      <c r="P66" t="n">
        <v>0.6728455036400941</v>
      </c>
      <c r="Q66" t="n">
        <v>2.363513117851356</v>
      </c>
      <c r="R66" t="n">
        <v>0.8699601355323943</v>
      </c>
      <c r="S66">
        <f>Q66-P66</f>
        <v/>
      </c>
      <c r="T66">
        <f>Q66-Settings!$B$5</f>
        <v/>
      </c>
      <c r="U66">
        <f>0.5*(P66+T66)</f>
        <v/>
      </c>
      <c r="V66">
        <f>AVERAGE(K47:K66)</f>
        <v/>
      </c>
      <c r="W66">
        <f>AVERAGE(L47:L66)</f>
        <v/>
      </c>
      <c r="X66">
        <f>AVERAGE(P47:P66)</f>
        <v/>
      </c>
      <c r="Y66">
        <f>AVERAGE(T47:T66)</f>
        <v/>
      </c>
      <c r="Z66">
        <f>AVERAGE(U47:U66)</f>
        <v/>
      </c>
      <c r="AA66">
        <f>0.5*V66+0.5*X66</f>
        <v/>
      </c>
      <c r="AB66">
        <f>Settings!$B$3+Settings!$B$4*W66</f>
        <v/>
      </c>
      <c r="AC66">
        <f>Z66</f>
        <v/>
      </c>
      <c r="AD66">
        <f>0.5*V66+0.5*Z66</f>
        <v/>
      </c>
      <c r="AE66">
        <f>(X66+Y66+V66)/3</f>
        <v/>
      </c>
      <c r="AF66">
        <f>0.7*X66+0.3*V66</f>
        <v/>
      </c>
    </row>
    <row r="67">
      <c r="A67" t="inlineStr">
        <is>
          <t>2001-04-01</t>
        </is>
      </c>
      <c r="B67" t="n">
        <v>614361.8627076151</v>
      </c>
      <c r="C67" t="n">
        <v>337510.8214280506</v>
      </c>
      <c r="D67" t="n">
        <v>65.49119403987466</v>
      </c>
      <c r="E67" t="n">
        <v>0.0483868664711081</v>
      </c>
      <c r="F67" t="n">
        <v>0.2822274321915872</v>
      </c>
      <c r="G67" t="n">
        <v>1.877278533187979</v>
      </c>
      <c r="H67" t="n">
        <v>85.39687561243099</v>
      </c>
      <c r="I67" t="n">
        <v>1332.833938647304</v>
      </c>
      <c r="J67" t="n">
        <v>828.2043337480486</v>
      </c>
      <c r="K67" t="n">
        <v>3.655712042085725</v>
      </c>
      <c r="L67" t="n">
        <v>4.351859989701097</v>
      </c>
      <c r="M67" t="n">
        <v>-0.1621842684851345</v>
      </c>
      <c r="N67" t="n">
        <v>-0.4701105084873234</v>
      </c>
      <c r="O67" t="n">
        <v>-0.4701105084873234</v>
      </c>
      <c r="P67" t="n">
        <v>0.5184973749584315</v>
      </c>
      <c r="Q67" t="n">
        <v>2.347389041675302</v>
      </c>
      <c r="R67" t="n">
        <v>0.7523379406789106</v>
      </c>
      <c r="S67">
        <f>Q67-P67</f>
        <v/>
      </c>
      <c r="T67">
        <f>Q67-Settings!$B$5</f>
        <v/>
      </c>
      <c r="U67">
        <f>0.5*(P67+T67)</f>
        <v/>
      </c>
      <c r="V67">
        <f>AVERAGE(K48:K67)</f>
        <v/>
      </c>
      <c r="W67">
        <f>AVERAGE(L48:L67)</f>
        <v/>
      </c>
      <c r="X67">
        <f>AVERAGE(P48:P67)</f>
        <v/>
      </c>
      <c r="Y67">
        <f>AVERAGE(T48:T67)</f>
        <v/>
      </c>
      <c r="Z67">
        <f>AVERAGE(U48:U67)</f>
        <v/>
      </c>
      <c r="AA67">
        <f>0.5*V67+0.5*X67</f>
        <v/>
      </c>
      <c r="AB67">
        <f>Settings!$B$3+Settings!$B$4*W67</f>
        <v/>
      </c>
      <c r="AC67">
        <f>Z67</f>
        <v/>
      </c>
      <c r="AD67">
        <f>0.5*V67+0.5*Z67</f>
        <v/>
      </c>
      <c r="AE67">
        <f>(X67+Y67+V67)/3</f>
        <v/>
      </c>
      <c r="AF67">
        <f>0.7*X67+0.3*V67</f>
        <v/>
      </c>
    </row>
    <row r="68">
      <c r="A68" t="inlineStr">
        <is>
          <t>2001-07-01</t>
        </is>
      </c>
      <c r="B68" t="n">
        <v>618283.2344715372</v>
      </c>
      <c r="C68" t="n">
        <v>338070.9862454758</v>
      </c>
      <c r="D68" t="n">
        <v>65.47655611630462</v>
      </c>
      <c r="E68" t="n">
        <v>0.0377764106199462</v>
      </c>
      <c r="F68" t="n">
        <v>0.1693542752587885</v>
      </c>
      <c r="G68" t="n">
        <v>1.962271148484591</v>
      </c>
      <c r="H68" t="n">
        <v>85.28791222355608</v>
      </c>
      <c r="I68" t="n">
        <v>1333.470193965507</v>
      </c>
      <c r="J68" t="n">
        <v>828.497843542141</v>
      </c>
      <c r="K68" t="n">
        <v>2.545021272813756</v>
      </c>
      <c r="L68" t="n">
        <v>1.174039176369661</v>
      </c>
      <c r="M68" t="n">
        <v>-0.0894139121335229</v>
      </c>
      <c r="N68" t="n">
        <v>-0.2442062287732369</v>
      </c>
      <c r="O68" t="n">
        <v>-0.2442062287732369</v>
      </c>
      <c r="P68" t="n">
        <v>0.2819826393931831</v>
      </c>
      <c r="Q68" t="n">
        <v>2.206477377257828</v>
      </c>
      <c r="R68" t="n">
        <v>0.4135605040320254</v>
      </c>
      <c r="S68">
        <f>Q68-P68</f>
        <v/>
      </c>
      <c r="T68">
        <f>Q68-Settings!$B$5</f>
        <v/>
      </c>
      <c r="U68">
        <f>0.5*(P68+T68)</f>
        <v/>
      </c>
      <c r="V68">
        <f>AVERAGE(K49:K68)</f>
        <v/>
      </c>
      <c r="W68">
        <f>AVERAGE(L49:L68)</f>
        <v/>
      </c>
      <c r="X68">
        <f>AVERAGE(P49:P68)</f>
        <v/>
      </c>
      <c r="Y68">
        <f>AVERAGE(T49:T68)</f>
        <v/>
      </c>
      <c r="Z68">
        <f>AVERAGE(U49:U68)</f>
        <v/>
      </c>
      <c r="AA68">
        <f>0.5*V68+0.5*X68</f>
        <v/>
      </c>
      <c r="AB68">
        <f>Settings!$B$3+Settings!$B$4*W68</f>
        <v/>
      </c>
      <c r="AC68">
        <f>Z68</f>
        <v/>
      </c>
      <c r="AD68">
        <f>0.5*V68+0.5*Z68</f>
        <v/>
      </c>
      <c r="AE68">
        <f>(X68+Y68+V68)/3</f>
        <v/>
      </c>
      <c r="AF68">
        <f>0.7*X68+0.3*V68</f>
        <v/>
      </c>
    </row>
    <row r="69">
      <c r="A69" t="inlineStr">
        <is>
          <t>2001-10-01</t>
        </is>
      </c>
      <c r="B69" t="n">
        <v>622387.7464036449</v>
      </c>
      <c r="C69" t="n">
        <v>341505.3879539969</v>
      </c>
      <c r="D69" t="n">
        <v>65.43425105163487</v>
      </c>
      <c r="E69" t="n">
        <v>0.055560134338454</v>
      </c>
      <c r="F69" t="n">
        <v>0.2106609736413543</v>
      </c>
      <c r="G69" t="n">
        <v>1.812426190514503</v>
      </c>
      <c r="H69" t="n">
        <v>85.31479657077806</v>
      </c>
      <c r="I69" t="n">
        <v>1334.13185639977</v>
      </c>
      <c r="J69" t="n">
        <v>829.4770830658321</v>
      </c>
      <c r="K69" t="n">
        <v>2.64664973705203</v>
      </c>
      <c r="L69" t="n">
        <v>3.916958094764141</v>
      </c>
      <c r="M69" t="n">
        <v>-0.2585275703822845</v>
      </c>
      <c r="N69" t="n">
        <v>-0.237914640273118</v>
      </c>
      <c r="O69" t="n">
        <v>-0.237914640273118</v>
      </c>
      <c r="P69" t="n">
        <v>0.293474774611572</v>
      </c>
      <c r="Q69" t="n">
        <v>2.050340830787621</v>
      </c>
      <c r="R69" t="n">
        <v>0.4485756139144723</v>
      </c>
      <c r="S69">
        <f>Q69-P69</f>
        <v/>
      </c>
      <c r="T69">
        <f>Q69-Settings!$B$5</f>
        <v/>
      </c>
      <c r="U69">
        <f>0.5*(P69+T69)</f>
        <v/>
      </c>
      <c r="V69">
        <f>AVERAGE(K50:K69)</f>
        <v/>
      </c>
      <c r="W69">
        <f>AVERAGE(L50:L69)</f>
        <v/>
      </c>
      <c r="X69">
        <f>AVERAGE(P50:P69)</f>
        <v/>
      </c>
      <c r="Y69">
        <f>AVERAGE(T50:T69)</f>
        <v/>
      </c>
      <c r="Z69">
        <f>AVERAGE(U50:U69)</f>
        <v/>
      </c>
      <c r="AA69">
        <f>0.5*V69+0.5*X69</f>
        <v/>
      </c>
      <c r="AB69">
        <f>Settings!$B$3+Settings!$B$4*W69</f>
        <v/>
      </c>
      <c r="AC69">
        <f>Z69</f>
        <v/>
      </c>
      <c r="AD69">
        <f>0.5*V69+0.5*Z69</f>
        <v/>
      </c>
      <c r="AE69">
        <f>(X69+Y69+V69)/3</f>
        <v/>
      </c>
      <c r="AF69">
        <f>0.7*X69+0.3*V69</f>
        <v/>
      </c>
    </row>
    <row r="70">
      <c r="A70" t="inlineStr">
        <is>
          <t>2002-01-01</t>
        </is>
      </c>
      <c r="B70" t="n">
        <v>629330.391401515</v>
      </c>
      <c r="C70" t="n">
        <v>346568.9548076984</v>
      </c>
      <c r="D70" t="n">
        <v>65.42248047649807</v>
      </c>
      <c r="E70" t="n">
        <v>0.0964659809173964</v>
      </c>
      <c r="F70" t="n">
        <v>0.2687793876605384</v>
      </c>
      <c r="G70" t="n">
        <v>1.646295996501431</v>
      </c>
      <c r="H70" t="n">
        <v>85.3054823877287</v>
      </c>
      <c r="I70" t="n">
        <v>1335.241166232875</v>
      </c>
      <c r="J70" t="n">
        <v>830.9598357317823</v>
      </c>
      <c r="K70" t="n">
        <v>4.437239332419267</v>
      </c>
      <c r="L70" t="n">
        <v>5.931010663800862</v>
      </c>
      <c r="M70" t="n">
        <v>-0.07196007438756169</v>
      </c>
      <c r="N70" t="n">
        <v>-0.1455214563471259</v>
      </c>
      <c r="O70" t="n">
        <v>-0.1455214563471259</v>
      </c>
      <c r="P70" t="n">
        <v>0.2419874372645223</v>
      </c>
      <c r="Q70" t="n">
        <v>1.791817452848557</v>
      </c>
      <c r="R70" t="n">
        <v>0.4143008440076643</v>
      </c>
      <c r="S70">
        <f>Q70-P70</f>
        <v/>
      </c>
      <c r="T70">
        <f>Q70-Settings!$B$5</f>
        <v/>
      </c>
      <c r="U70">
        <f>0.5*(P70+T70)</f>
        <v/>
      </c>
      <c r="V70">
        <f>AVERAGE(K51:K70)</f>
        <v/>
      </c>
      <c r="W70">
        <f>AVERAGE(L51:L70)</f>
        <v/>
      </c>
      <c r="X70">
        <f>AVERAGE(P51:P70)</f>
        <v/>
      </c>
      <c r="Y70">
        <f>AVERAGE(T51:T70)</f>
        <v/>
      </c>
      <c r="Z70">
        <f>AVERAGE(U51:U70)</f>
        <v/>
      </c>
      <c r="AA70">
        <f>0.5*V70+0.5*X70</f>
        <v/>
      </c>
      <c r="AB70">
        <f>Settings!$B$3+Settings!$B$4*W70</f>
        <v/>
      </c>
      <c r="AC70">
        <f>Z70</f>
        <v/>
      </c>
      <c r="AD70">
        <f>0.5*V70+0.5*Z70</f>
        <v/>
      </c>
      <c r="AE70">
        <f>(X70+Y70+V70)/3</f>
        <v/>
      </c>
      <c r="AF70">
        <f>0.7*X70+0.3*V70</f>
        <v/>
      </c>
    </row>
    <row r="71">
      <c r="A71" t="inlineStr">
        <is>
          <t>2002-04-01</t>
        </is>
      </c>
      <c r="B71" t="n">
        <v>634613.2935591553</v>
      </c>
      <c r="C71" t="n">
        <v>350724.9298505049</v>
      </c>
      <c r="D71" t="n">
        <v>65.38467122828162</v>
      </c>
      <c r="E71" t="n">
        <v>0.1167147564248857</v>
      </c>
      <c r="F71" t="n">
        <v>0.3605501224264956</v>
      </c>
      <c r="G71" t="n">
        <v>1.746315470163848</v>
      </c>
      <c r="H71" t="n">
        <v>85.39725650725295</v>
      </c>
      <c r="I71" t="n">
        <v>1336.07711058462</v>
      </c>
      <c r="J71" t="n">
        <v>832.0443544503449</v>
      </c>
      <c r="K71" t="n">
        <v>3.343777406981644</v>
      </c>
      <c r="L71" t="n">
        <v>4.338074874250651</v>
      </c>
      <c r="M71" t="n">
        <v>-0.2312365877651246</v>
      </c>
      <c r="N71" t="n">
        <v>-0.1627845361671234</v>
      </c>
      <c r="O71" t="n">
        <v>-0.1627845361671234</v>
      </c>
      <c r="P71" t="n">
        <v>0.2794992925920091</v>
      </c>
      <c r="Q71" t="n">
        <v>1.909100006330972</v>
      </c>
      <c r="R71" t="n">
        <v>0.5233346585936189</v>
      </c>
      <c r="S71">
        <f>Q71-P71</f>
        <v/>
      </c>
      <c r="T71">
        <f>Q71-Settings!$B$5</f>
        <v/>
      </c>
      <c r="U71">
        <f>0.5*(P71+T71)</f>
        <v/>
      </c>
      <c r="V71">
        <f>AVERAGE(K52:K71)</f>
        <v/>
      </c>
      <c r="W71">
        <f>AVERAGE(L52:L71)</f>
        <v/>
      </c>
      <c r="X71">
        <f>AVERAGE(P52:P71)</f>
        <v/>
      </c>
      <c r="Y71">
        <f>AVERAGE(T52:T71)</f>
        <v/>
      </c>
      <c r="Z71">
        <f>AVERAGE(U52:U71)</f>
        <v/>
      </c>
      <c r="AA71">
        <f>0.5*V71+0.5*X71</f>
        <v/>
      </c>
      <c r="AB71">
        <f>Settings!$B$3+Settings!$B$4*W71</f>
        <v/>
      </c>
      <c r="AC71">
        <f>Z71</f>
        <v/>
      </c>
      <c r="AD71">
        <f>0.5*V71+0.5*Z71</f>
        <v/>
      </c>
      <c r="AE71">
        <f>(X71+Y71+V71)/3</f>
        <v/>
      </c>
      <c r="AF71">
        <f>0.7*X71+0.3*V71</f>
        <v/>
      </c>
    </row>
    <row r="72">
      <c r="A72" t="inlineStr">
        <is>
          <t>2002-07-01</t>
        </is>
      </c>
      <c r="B72" t="n">
        <v>638050.2718952859</v>
      </c>
      <c r="C72" t="n">
        <v>349905.7177046798</v>
      </c>
      <c r="D72" t="n">
        <v>65.36163036537103</v>
      </c>
      <c r="E72" t="n">
        <v>0.1025571029276081</v>
      </c>
      <c r="F72" t="n">
        <v>0.311034712415187</v>
      </c>
      <c r="G72" t="n">
        <v>1.819253430648007</v>
      </c>
      <c r="H72" t="n">
        <v>85.18113421722398</v>
      </c>
      <c r="I72" t="n">
        <v>1336.617235529679</v>
      </c>
      <c r="J72" t="n">
        <v>832.0639039249339</v>
      </c>
      <c r="K72" t="n">
        <v>2.160499780236023</v>
      </c>
      <c r="L72" t="n">
        <v>0.07819789835593838</v>
      </c>
      <c r="M72" t="n">
        <v>-0.140980588319735</v>
      </c>
      <c r="N72" t="n">
        <v>-0.1756762052136764</v>
      </c>
      <c r="O72" t="n">
        <v>-0.1756762052136764</v>
      </c>
      <c r="P72" t="n">
        <v>0.2782333081412846</v>
      </c>
      <c r="Q72" t="n">
        <v>1.994929635861683</v>
      </c>
      <c r="R72" t="n">
        <v>0.4867109176288634</v>
      </c>
      <c r="S72">
        <f>Q72-P72</f>
        <v/>
      </c>
      <c r="T72">
        <f>Q72-Settings!$B$5</f>
        <v/>
      </c>
      <c r="U72">
        <f>0.5*(P72+T72)</f>
        <v/>
      </c>
      <c r="V72">
        <f>AVERAGE(K53:K72)</f>
        <v/>
      </c>
      <c r="W72">
        <f>AVERAGE(L53:L72)</f>
        <v/>
      </c>
      <c r="X72">
        <f>AVERAGE(P53:P72)</f>
        <v/>
      </c>
      <c r="Y72">
        <f>AVERAGE(T53:T72)</f>
        <v/>
      </c>
      <c r="Z72">
        <f>AVERAGE(U53:U72)</f>
        <v/>
      </c>
      <c r="AA72">
        <f>0.5*V72+0.5*X72</f>
        <v/>
      </c>
      <c r="AB72">
        <f>Settings!$B$3+Settings!$B$4*W72</f>
        <v/>
      </c>
      <c r="AC72">
        <f>Z72</f>
        <v/>
      </c>
      <c r="AD72">
        <f>0.5*V72+0.5*Z72</f>
        <v/>
      </c>
      <c r="AE72">
        <f>(X72+Y72+V72)/3</f>
        <v/>
      </c>
      <c r="AF72">
        <f>0.7*X72+0.3*V72</f>
        <v/>
      </c>
    </row>
    <row r="73">
      <c r="A73" t="inlineStr">
        <is>
          <t>2002-10-01</t>
        </is>
      </c>
      <c r="B73" t="n">
        <v>641884.2023524403</v>
      </c>
      <c r="C73" t="n">
        <v>352113.7689907293</v>
      </c>
      <c r="D73" t="n">
        <v>65.27811859407684</v>
      </c>
      <c r="E73" t="n">
        <v>0.0617232361285143</v>
      </c>
      <c r="F73" t="n">
        <v>0.2847427533423511</v>
      </c>
      <c r="G73" t="n">
        <v>1.805950347378993</v>
      </c>
      <c r="H73" t="n">
        <v>85.2986007283245</v>
      </c>
      <c r="I73" t="n">
        <v>1337.21631962359</v>
      </c>
      <c r="J73" t="n">
        <v>832.5551559479736</v>
      </c>
      <c r="K73" t="n">
        <v>2.396336375643841</v>
      </c>
      <c r="L73" t="n">
        <v>1.965008092158769</v>
      </c>
      <c r="M73" t="n">
        <v>-0.5114019788609312</v>
      </c>
      <c r="N73" t="n">
        <v>-0.2388948073333381</v>
      </c>
      <c r="O73" t="n">
        <v>-0.2388948073333381</v>
      </c>
      <c r="P73" t="n">
        <v>0.3006180434618524</v>
      </c>
      <c r="Q73" t="n">
        <v>2.044845154712331</v>
      </c>
      <c r="R73" t="n">
        <v>0.5236375606756892</v>
      </c>
      <c r="S73">
        <f>Q73-P73</f>
        <v/>
      </c>
      <c r="T73">
        <f>Q73-Settings!$B$5</f>
        <v/>
      </c>
      <c r="U73">
        <f>0.5*(P73+T73)</f>
        <v/>
      </c>
      <c r="V73">
        <f>AVERAGE(K54:K73)</f>
        <v/>
      </c>
      <c r="W73">
        <f>AVERAGE(L54:L73)</f>
        <v/>
      </c>
      <c r="X73">
        <f>AVERAGE(P54:P73)</f>
        <v/>
      </c>
      <c r="Y73">
        <f>AVERAGE(T54:T73)</f>
        <v/>
      </c>
      <c r="Z73">
        <f>AVERAGE(U54:U73)</f>
        <v/>
      </c>
      <c r="AA73">
        <f>0.5*V73+0.5*X73</f>
        <v/>
      </c>
      <c r="AB73">
        <f>Settings!$B$3+Settings!$B$4*W73</f>
        <v/>
      </c>
      <c r="AC73">
        <f>Z73</f>
        <v/>
      </c>
      <c r="AD73">
        <f>0.5*V73+0.5*Z73</f>
        <v/>
      </c>
      <c r="AE73">
        <f>(X73+Y73+V73)/3</f>
        <v/>
      </c>
      <c r="AF73">
        <f>0.7*X73+0.3*V73</f>
        <v/>
      </c>
    </row>
    <row r="74">
      <c r="A74" t="inlineStr">
        <is>
          <t>2003-01-01</t>
        </is>
      </c>
      <c r="B74" t="n">
        <v>646169.5250755564</v>
      </c>
      <c r="C74" t="n">
        <v>352353.7826475694</v>
      </c>
      <c r="D74" t="n">
        <v>65.22039202311258</v>
      </c>
      <c r="E74" t="n">
        <v>0.1450092282009981</v>
      </c>
      <c r="F74" t="n">
        <v>0.3108044006272113</v>
      </c>
      <c r="G74" t="n">
        <v>1.904170365475526</v>
      </c>
      <c r="H74" t="n">
        <v>85.20749212069937</v>
      </c>
      <c r="I74" t="n">
        <v>1337.88171710555</v>
      </c>
      <c r="J74" t="n">
        <v>832.7301648522811</v>
      </c>
      <c r="K74" t="n">
        <v>2.661589927838577</v>
      </c>
      <c r="L74" t="n">
        <v>0.700035617229787</v>
      </c>
      <c r="M74" t="n">
        <v>-0.3538834241496716</v>
      </c>
      <c r="N74" t="n">
        <v>-0.3093756447738656</v>
      </c>
      <c r="O74" t="n">
        <v>-0.3093756447738656</v>
      </c>
      <c r="P74" t="n">
        <v>0.4543848729748637</v>
      </c>
      <c r="Q74" t="n">
        <v>2.213546010249391</v>
      </c>
      <c r="R74" t="n">
        <v>0.6201800454010769</v>
      </c>
      <c r="S74">
        <f>Q74-P74</f>
        <v/>
      </c>
      <c r="T74">
        <f>Q74-Settings!$B$5</f>
        <v/>
      </c>
      <c r="U74">
        <f>0.5*(P74+T74)</f>
        <v/>
      </c>
      <c r="V74">
        <f>AVERAGE(K55:K74)</f>
        <v/>
      </c>
      <c r="W74">
        <f>AVERAGE(L55:L74)</f>
        <v/>
      </c>
      <c r="X74">
        <f>AVERAGE(P55:P74)</f>
        <v/>
      </c>
      <c r="Y74">
        <f>AVERAGE(T55:T74)</f>
        <v/>
      </c>
      <c r="Z74">
        <f>AVERAGE(U55:U74)</f>
        <v/>
      </c>
      <c r="AA74">
        <f>0.5*V74+0.5*X74</f>
        <v/>
      </c>
      <c r="AB74">
        <f>Settings!$B$3+Settings!$B$4*W74</f>
        <v/>
      </c>
      <c r="AC74">
        <f>Z74</f>
        <v/>
      </c>
      <c r="AD74">
        <f>0.5*V74+0.5*Z74</f>
        <v/>
      </c>
      <c r="AE74">
        <f>(X74+Y74+V74)/3</f>
        <v/>
      </c>
      <c r="AF74">
        <f>0.7*X74+0.3*V74</f>
        <v/>
      </c>
    </row>
    <row r="75">
      <c r="A75" t="inlineStr">
        <is>
          <t>2003-04-01</t>
        </is>
      </c>
      <c r="B75" t="n">
        <v>653174.1555864098</v>
      </c>
      <c r="C75" t="n">
        <v>359012.1134161142</v>
      </c>
      <c r="D75" t="n">
        <v>65.18111392182287</v>
      </c>
      <c r="E75" t="n">
        <v>0.1369706336150473</v>
      </c>
      <c r="F75" t="n">
        <v>0.3033845573569316</v>
      </c>
      <c r="G75" t="n">
        <v>1.940828745913139</v>
      </c>
      <c r="H75" t="n">
        <v>85.19555859590079</v>
      </c>
      <c r="I75" t="n">
        <v>1338.959907344513</v>
      </c>
      <c r="J75" t="n">
        <v>834.6162105686927</v>
      </c>
      <c r="K75" t="n">
        <v>4.312760955852355</v>
      </c>
      <c r="L75" t="n">
        <v>7.54418286564669</v>
      </c>
      <c r="M75" t="n">
        <v>-0.2409671710026942</v>
      </c>
      <c r="N75" t="n">
        <v>-0.311808290583258</v>
      </c>
      <c r="O75" t="n">
        <v>-0.311808290583258</v>
      </c>
      <c r="P75" t="n">
        <v>0.4487789241983053</v>
      </c>
      <c r="Q75" t="n">
        <v>2.252637036496397</v>
      </c>
      <c r="R75" t="n">
        <v>0.6151928479401896</v>
      </c>
      <c r="S75">
        <f>Q75-P75</f>
        <v/>
      </c>
      <c r="T75">
        <f>Q75-Settings!$B$5</f>
        <v/>
      </c>
      <c r="U75">
        <f>0.5*(P75+T75)</f>
        <v/>
      </c>
      <c r="V75">
        <f>AVERAGE(K56:K75)</f>
        <v/>
      </c>
      <c r="W75">
        <f>AVERAGE(L56:L75)</f>
        <v/>
      </c>
      <c r="X75">
        <f>AVERAGE(P56:P75)</f>
        <v/>
      </c>
      <c r="Y75">
        <f>AVERAGE(T56:T75)</f>
        <v/>
      </c>
      <c r="Z75">
        <f>AVERAGE(U56:U75)</f>
        <v/>
      </c>
      <c r="AA75">
        <f>0.5*V75+0.5*X75</f>
        <v/>
      </c>
      <c r="AB75">
        <f>Settings!$B$3+Settings!$B$4*W75</f>
        <v/>
      </c>
      <c r="AC75">
        <f>Z75</f>
        <v/>
      </c>
      <c r="AD75">
        <f>0.5*V75+0.5*Z75</f>
        <v/>
      </c>
      <c r="AE75">
        <f>(X75+Y75+V75)/3</f>
        <v/>
      </c>
      <c r="AF75">
        <f>0.7*X75+0.3*V75</f>
        <v/>
      </c>
    </row>
    <row r="76">
      <c r="A76" t="inlineStr">
        <is>
          <t>2003-07-01</t>
        </is>
      </c>
      <c r="B76" t="n">
        <v>659379.2105383883</v>
      </c>
      <c r="C76" t="n">
        <v>361120.6611471886</v>
      </c>
      <c r="D76" t="n">
        <v>65.17234089685952</v>
      </c>
      <c r="E76" t="n">
        <v>0.0920175846288991</v>
      </c>
      <c r="F76" t="n">
        <v>0.3054519961305804</v>
      </c>
      <c r="G76" t="n">
        <v>1.860842951546654</v>
      </c>
      <c r="H76" t="n">
        <v>85.15591739566942</v>
      </c>
      <c r="I76" t="n">
        <v>1339.905408127682</v>
      </c>
      <c r="J76" t="n">
        <v>835.248352439609</v>
      </c>
      <c r="K76" t="n">
        <v>3.782003132673708</v>
      </c>
      <c r="L76" t="n">
        <v>2.528567483665029</v>
      </c>
      <c r="M76" t="n">
        <v>-0.05384145737457402</v>
      </c>
      <c r="N76" t="n">
        <v>-0.2900235078469677</v>
      </c>
      <c r="O76" t="n">
        <v>-0.2900235078469677</v>
      </c>
      <c r="P76" t="n">
        <v>0.3820410924758668</v>
      </c>
      <c r="Q76" t="n">
        <v>2.150866459393622</v>
      </c>
      <c r="R76" t="n">
        <v>0.5954755039775481</v>
      </c>
      <c r="S76">
        <f>Q76-P76</f>
        <v/>
      </c>
      <c r="T76">
        <f>Q76-Settings!$B$5</f>
        <v/>
      </c>
      <c r="U76">
        <f>0.5*(P76+T76)</f>
        <v/>
      </c>
      <c r="V76">
        <f>AVERAGE(K57:K76)</f>
        <v/>
      </c>
      <c r="W76">
        <f>AVERAGE(L57:L76)</f>
        <v/>
      </c>
      <c r="X76">
        <f>AVERAGE(P57:P76)</f>
        <v/>
      </c>
      <c r="Y76">
        <f>AVERAGE(T57:T76)</f>
        <v/>
      </c>
      <c r="Z76">
        <f>AVERAGE(U57:U76)</f>
        <v/>
      </c>
      <c r="AA76">
        <f>0.5*V76+0.5*X76</f>
        <v/>
      </c>
      <c r="AB76">
        <f>Settings!$B$3+Settings!$B$4*W76</f>
        <v/>
      </c>
      <c r="AC76">
        <f>Z76</f>
        <v/>
      </c>
      <c r="AD76">
        <f>0.5*V76+0.5*Z76</f>
        <v/>
      </c>
      <c r="AE76">
        <f>(X76+Y76+V76)/3</f>
        <v/>
      </c>
      <c r="AF76">
        <f>0.7*X76+0.3*V76</f>
        <v/>
      </c>
    </row>
    <row r="77">
      <c r="A77" t="inlineStr">
        <is>
          <t>2003-10-01</t>
        </is>
      </c>
      <c r="B77" t="n">
        <v>666475.0574762098</v>
      </c>
      <c r="C77" t="n">
        <v>365785.8150467631</v>
      </c>
      <c r="D77" t="n">
        <v>65.10425145910557</v>
      </c>
      <c r="E77" t="n">
        <v>0.0673541927667644</v>
      </c>
      <c r="F77" t="n">
        <v>0.2691024226948278</v>
      </c>
      <c r="G77" t="n">
        <v>1.972288153821105</v>
      </c>
      <c r="H77" t="n">
        <v>85.14723634090976</v>
      </c>
      <c r="I77" t="n">
        <v>1340.975799475917</v>
      </c>
      <c r="J77" t="n">
        <v>836.5421286072528</v>
      </c>
      <c r="K77" t="n">
        <v>4.281565392940138</v>
      </c>
      <c r="L77" t="n">
        <v>5.175104670575365</v>
      </c>
      <c r="M77" t="n">
        <v>-0.4181223516675345</v>
      </c>
      <c r="N77" t="n">
        <v>-0.2667036010486186</v>
      </c>
      <c r="O77" t="n">
        <v>-0.2667036010486186</v>
      </c>
      <c r="P77" t="n">
        <v>0.334057793815383</v>
      </c>
      <c r="Q77" t="n">
        <v>2.238991754869724</v>
      </c>
      <c r="R77" t="n">
        <v>0.5358060237434463</v>
      </c>
      <c r="S77">
        <f>Q77-P77</f>
        <v/>
      </c>
      <c r="T77">
        <f>Q77-Settings!$B$5</f>
        <v/>
      </c>
      <c r="U77">
        <f>0.5*(P77+T77)</f>
        <v/>
      </c>
      <c r="V77">
        <f>AVERAGE(K58:K77)</f>
        <v/>
      </c>
      <c r="W77">
        <f>AVERAGE(L58:L77)</f>
        <v/>
      </c>
      <c r="X77">
        <f>AVERAGE(P58:P77)</f>
        <v/>
      </c>
      <c r="Y77">
        <f>AVERAGE(T58:T77)</f>
        <v/>
      </c>
      <c r="Z77">
        <f>AVERAGE(U58:U77)</f>
        <v/>
      </c>
      <c r="AA77">
        <f>0.5*V77+0.5*X77</f>
        <v/>
      </c>
      <c r="AB77">
        <f>Settings!$B$3+Settings!$B$4*W77</f>
        <v/>
      </c>
      <c r="AC77">
        <f>Z77</f>
        <v/>
      </c>
      <c r="AD77">
        <f>0.5*V77+0.5*Z77</f>
        <v/>
      </c>
      <c r="AE77">
        <f>(X77+Y77+V77)/3</f>
        <v/>
      </c>
      <c r="AF77">
        <f>0.7*X77+0.3*V77</f>
        <v/>
      </c>
    </row>
    <row r="78">
      <c r="A78" t="inlineStr">
        <is>
          <t>2004-01-01</t>
        </is>
      </c>
      <c r="B78" t="n">
        <v>671046.7920387317</v>
      </c>
      <c r="C78" t="n">
        <v>367783.4910363113</v>
      </c>
      <c r="D78" t="n">
        <v>65.08087512132303</v>
      </c>
      <c r="E78" t="n">
        <v>0.12742139604149</v>
      </c>
      <c r="F78" t="n">
        <v>0.3438835606074138</v>
      </c>
      <c r="G78" t="n">
        <v>1.859819665473353</v>
      </c>
      <c r="H78" t="n">
        <v>85.0923157447819</v>
      </c>
      <c r="I78" t="n">
        <v>1341.659414830448</v>
      </c>
      <c r="J78" t="n">
        <v>837.1512969704927</v>
      </c>
      <c r="K78" t="n">
        <v>2.734461418123828</v>
      </c>
      <c r="L78" t="n">
        <v>2.43667345295944</v>
      </c>
      <c r="M78" t="n">
        <v>-0.1436498232806116</v>
      </c>
      <c r="N78" t="n">
        <v>-0.2141452008313536</v>
      </c>
      <c r="O78" t="n">
        <v>-0.2141452008313536</v>
      </c>
      <c r="P78" t="n">
        <v>0.3415665968728436</v>
      </c>
      <c r="Q78" t="n">
        <v>2.073964866304706</v>
      </c>
      <c r="R78" t="n">
        <v>0.5580287614387673</v>
      </c>
      <c r="S78">
        <f>Q78-P78</f>
        <v/>
      </c>
      <c r="T78">
        <f>Q78-Settings!$B$5</f>
        <v/>
      </c>
      <c r="U78">
        <f>0.5*(P78+T78)</f>
        <v/>
      </c>
      <c r="V78">
        <f>AVERAGE(K59:K78)</f>
        <v/>
      </c>
      <c r="W78">
        <f>AVERAGE(L59:L78)</f>
        <v/>
      </c>
      <c r="X78">
        <f>AVERAGE(P59:P78)</f>
        <v/>
      </c>
      <c r="Y78">
        <f>AVERAGE(T59:T78)</f>
        <v/>
      </c>
      <c r="Z78">
        <f>AVERAGE(U59:U78)</f>
        <v/>
      </c>
      <c r="AA78">
        <f>0.5*V78+0.5*X78</f>
        <v/>
      </c>
      <c r="AB78">
        <f>Settings!$B$3+Settings!$B$4*W78</f>
        <v/>
      </c>
      <c r="AC78">
        <f>Z78</f>
        <v/>
      </c>
      <c r="AD78">
        <f>0.5*V78+0.5*Z78</f>
        <v/>
      </c>
      <c r="AE78">
        <f>(X78+Y78+V78)/3</f>
        <v/>
      </c>
      <c r="AF78">
        <f>0.7*X78+0.3*V78</f>
        <v/>
      </c>
    </row>
    <row r="79">
      <c r="A79" t="inlineStr">
        <is>
          <t>2004-04-01</t>
        </is>
      </c>
      <c r="B79" t="n">
        <v>676421.5639363284</v>
      </c>
      <c r="C79" t="n">
        <v>371891.6119133491</v>
      </c>
      <c r="D79" t="n">
        <v>65.01911801915718</v>
      </c>
      <c r="E79" t="n">
        <v>0.1093986793743052</v>
      </c>
      <c r="F79" t="n">
        <v>0.3037685496464516</v>
      </c>
      <c r="G79" t="n">
        <v>1.823166883426751</v>
      </c>
      <c r="H79" t="n">
        <v>85.14770250907287</v>
      </c>
      <c r="I79" t="n">
        <v>1342.457177594832</v>
      </c>
      <c r="J79" t="n">
        <v>838.1970299921278</v>
      </c>
      <c r="K79" t="n">
        <v>3.191051057536242</v>
      </c>
      <c r="L79" t="n">
        <v>4.182932086540404</v>
      </c>
      <c r="M79" t="n">
        <v>-0.3797516375743726</v>
      </c>
      <c r="N79" t="n">
        <v>-0.2488413174742732</v>
      </c>
      <c r="O79" t="n">
        <v>-0.2488413174742732</v>
      </c>
      <c r="P79" t="n">
        <v>0.3582399968485784</v>
      </c>
      <c r="Q79" t="n">
        <v>2.072008200901024</v>
      </c>
      <c r="R79" t="n">
        <v>0.5526098671207248</v>
      </c>
      <c r="S79">
        <f>Q79-P79</f>
        <v/>
      </c>
      <c r="T79">
        <f>Q79-Settings!$B$5</f>
        <v/>
      </c>
      <c r="U79">
        <f>0.5*(P79+T79)</f>
        <v/>
      </c>
      <c r="V79">
        <f>AVERAGE(K60:K79)</f>
        <v/>
      </c>
      <c r="W79">
        <f>AVERAGE(L60:L79)</f>
        <v/>
      </c>
      <c r="X79">
        <f>AVERAGE(P60:P79)</f>
        <v/>
      </c>
      <c r="Y79">
        <f>AVERAGE(T60:T79)</f>
        <v/>
      </c>
      <c r="Z79">
        <f>AVERAGE(U60:U79)</f>
        <v/>
      </c>
      <c r="AA79">
        <f>0.5*V79+0.5*X79</f>
        <v/>
      </c>
      <c r="AB79">
        <f>Settings!$B$3+Settings!$B$4*W79</f>
        <v/>
      </c>
      <c r="AC79">
        <f>Z79</f>
        <v/>
      </c>
      <c r="AD79">
        <f>0.5*V79+0.5*Z79</f>
        <v/>
      </c>
      <c r="AE79">
        <f>(X79+Y79+V79)/3</f>
        <v/>
      </c>
      <c r="AF79">
        <f>0.7*X79+0.3*V79</f>
        <v/>
      </c>
    </row>
    <row r="80">
      <c r="A80" t="inlineStr">
        <is>
          <t>2004-07-01</t>
        </is>
      </c>
      <c r="B80" t="n">
        <v>682320.7455416649</v>
      </c>
      <c r="C80" t="n">
        <v>372647.1280043816</v>
      </c>
      <c r="D80" t="n">
        <v>64.96464464640366</v>
      </c>
      <c r="E80" t="n">
        <v>0.0275936370292476</v>
      </c>
      <c r="F80" t="n">
        <v>0.2359379488228864</v>
      </c>
      <c r="G80" t="n">
        <v>1.875481190881294</v>
      </c>
      <c r="H80" t="n">
        <v>85.02717644278876</v>
      </c>
      <c r="I80" t="n">
        <v>1343.325512764931</v>
      </c>
      <c r="J80" t="n">
        <v>838.5416285082066</v>
      </c>
      <c r="K80" t="n">
        <v>3.473340680396177</v>
      </c>
      <c r="L80" t="n">
        <v>1.378394064315216</v>
      </c>
      <c r="M80" t="n">
        <v>-0.3352626501985014</v>
      </c>
      <c r="N80" t="n">
        <v>-0.319196615680255</v>
      </c>
      <c r="O80" t="n">
        <v>-0.319196615680255</v>
      </c>
      <c r="P80" t="n">
        <v>0.3467902527095026</v>
      </c>
      <c r="Q80" t="n">
        <v>2.194677806561549</v>
      </c>
      <c r="R80" t="n">
        <v>0.5551345645031415</v>
      </c>
      <c r="S80">
        <f>Q80-P80</f>
        <v/>
      </c>
      <c r="T80">
        <f>Q80-Settings!$B$5</f>
        <v/>
      </c>
      <c r="U80">
        <f>0.5*(P80+T80)</f>
        <v/>
      </c>
      <c r="V80">
        <f>AVERAGE(K61:K80)</f>
        <v/>
      </c>
      <c r="W80">
        <f>AVERAGE(L61:L80)</f>
        <v/>
      </c>
      <c r="X80">
        <f>AVERAGE(P61:P80)</f>
        <v/>
      </c>
      <c r="Y80">
        <f>AVERAGE(T61:T80)</f>
        <v/>
      </c>
      <c r="Z80">
        <f>AVERAGE(U61:U80)</f>
        <v/>
      </c>
      <c r="AA80">
        <f>0.5*V80+0.5*X80</f>
        <v/>
      </c>
      <c r="AB80">
        <f>Settings!$B$3+Settings!$B$4*W80</f>
        <v/>
      </c>
      <c r="AC80">
        <f>Z80</f>
        <v/>
      </c>
      <c r="AD80">
        <f>0.5*V80+0.5*Z80</f>
        <v/>
      </c>
      <c r="AE80">
        <f>(X80+Y80+V80)/3</f>
        <v/>
      </c>
      <c r="AF80">
        <f>0.7*X80+0.3*V80</f>
        <v/>
      </c>
    </row>
    <row r="81">
      <c r="A81" t="inlineStr">
        <is>
          <t>2004-10-01</t>
        </is>
      </c>
      <c r="B81" t="n">
        <v>685829.0134182987</v>
      </c>
      <c r="C81" t="n">
        <v>374998.9265164599</v>
      </c>
      <c r="D81" t="n">
        <v>64.95633875127342</v>
      </c>
      <c r="E81" t="n">
        <v>0.0966009872007797</v>
      </c>
      <c r="F81" t="n">
        <v>0.301344559747933</v>
      </c>
      <c r="G81" t="n">
        <v>1.743036780208168</v>
      </c>
      <c r="H81" t="n">
        <v>85.08161172860896</v>
      </c>
      <c r="I81" t="n">
        <v>1343.838362406286</v>
      </c>
      <c r="J81" t="n">
        <v>839.1067508489373</v>
      </c>
      <c r="K81" t="n">
        <v>2.05139856542246</v>
      </c>
      <c r="L81" t="n">
        <v>2.260489362922726</v>
      </c>
      <c r="M81" t="n">
        <v>-0.05114428739261712</v>
      </c>
      <c r="N81" t="n">
        <v>-0.2274520996115257</v>
      </c>
      <c r="O81" t="n">
        <v>-0.2274520996115257</v>
      </c>
      <c r="P81" t="n">
        <v>0.3240530868123054</v>
      </c>
      <c r="Q81" t="n">
        <v>1.970488879819694</v>
      </c>
      <c r="R81" t="n">
        <v>0.5287966593594586</v>
      </c>
      <c r="S81">
        <f>Q81-P81</f>
        <v/>
      </c>
      <c r="T81">
        <f>Q81-Settings!$B$5</f>
        <v/>
      </c>
      <c r="U81">
        <f>0.5*(P81+T81)</f>
        <v/>
      </c>
      <c r="V81">
        <f>AVERAGE(K62:K81)</f>
        <v/>
      </c>
      <c r="W81">
        <f>AVERAGE(L62:L81)</f>
        <v/>
      </c>
      <c r="X81">
        <f>AVERAGE(P62:P81)</f>
        <v/>
      </c>
      <c r="Y81">
        <f>AVERAGE(T62:T81)</f>
        <v/>
      </c>
      <c r="Z81">
        <f>AVERAGE(U62:U81)</f>
        <v/>
      </c>
      <c r="AA81">
        <f>0.5*V81+0.5*X81</f>
        <v/>
      </c>
      <c r="AB81">
        <f>Settings!$B$3+Settings!$B$4*W81</f>
        <v/>
      </c>
      <c r="AC81">
        <f>Z81</f>
        <v/>
      </c>
      <c r="AD81">
        <f>0.5*V81+0.5*Z81</f>
        <v/>
      </c>
      <c r="AE81">
        <f>(X81+Y81+V81)/3</f>
        <v/>
      </c>
      <c r="AF81">
        <f>0.7*X81+0.3*V81</f>
        <v/>
      </c>
    </row>
    <row r="82">
      <c r="A82" t="inlineStr">
        <is>
          <t>2005-01-01</t>
        </is>
      </c>
      <c r="B82" t="n">
        <v>690404.4422132209</v>
      </c>
      <c r="C82" t="n">
        <v>382970.3464233804</v>
      </c>
      <c r="D82" t="n">
        <v>64.81068860728946</v>
      </c>
      <c r="E82" t="n">
        <v>0.113101790603719</v>
      </c>
      <c r="F82" t="n">
        <v>0.3364348122762668</v>
      </c>
      <c r="G82" t="n">
        <v>1.95207096113572</v>
      </c>
      <c r="H82" t="n">
        <v>84.96778164398935</v>
      </c>
      <c r="I82" t="n">
        <v>1344.503285299082</v>
      </c>
      <c r="J82" t="n">
        <v>841.3440695529102</v>
      </c>
      <c r="K82" t="n">
        <v>2.659691571184339</v>
      </c>
      <c r="L82" t="n">
        <v>8.94927481589184</v>
      </c>
      <c r="M82" t="n">
        <v>-0.8979181113165851</v>
      </c>
      <c r="N82" t="n">
        <v>-0.416019171620519</v>
      </c>
      <c r="O82" t="n">
        <v>-0.416019171620519</v>
      </c>
      <c r="P82" t="n">
        <v>0.5291209622242381</v>
      </c>
      <c r="Q82" t="n">
        <v>2.368090132756238</v>
      </c>
      <c r="R82" t="n">
        <v>0.7524539838967859</v>
      </c>
      <c r="S82">
        <f>Q82-P82</f>
        <v/>
      </c>
      <c r="T82">
        <f>Q82-Settings!$B$5</f>
        <v/>
      </c>
      <c r="U82">
        <f>0.5*(P82+T82)</f>
        <v/>
      </c>
      <c r="V82">
        <f>AVERAGE(K63:K82)</f>
        <v/>
      </c>
      <c r="W82">
        <f>AVERAGE(L63:L82)</f>
        <v/>
      </c>
      <c r="X82">
        <f>AVERAGE(P63:P82)</f>
        <v/>
      </c>
      <c r="Y82">
        <f>AVERAGE(T63:T82)</f>
        <v/>
      </c>
      <c r="Z82">
        <f>AVERAGE(U63:U82)</f>
        <v/>
      </c>
      <c r="AA82">
        <f>0.5*V82+0.5*X82</f>
        <v/>
      </c>
      <c r="AB82">
        <f>Settings!$B$3+Settings!$B$4*W82</f>
        <v/>
      </c>
      <c r="AC82">
        <f>Z82</f>
        <v/>
      </c>
      <c r="AD82">
        <f>0.5*V82+0.5*Z82</f>
        <v/>
      </c>
      <c r="AE82">
        <f>(X82+Y82+V82)/3</f>
        <v/>
      </c>
      <c r="AF82">
        <f>0.7*X82+0.3*V82</f>
        <v/>
      </c>
    </row>
    <row r="83">
      <c r="A83" t="inlineStr">
        <is>
          <t>2005-04-01</t>
        </is>
      </c>
      <c r="B83" t="n">
        <v>692143.6957302671</v>
      </c>
      <c r="C83" t="n">
        <v>378723.6925394502</v>
      </c>
      <c r="D83" t="n">
        <v>64.69915771799865</v>
      </c>
      <c r="E83" t="n">
        <v>0.0550152606756123</v>
      </c>
      <c r="F83" t="n">
        <v>0.2792255091339464</v>
      </c>
      <c r="G83" t="n">
        <v>1.865270579048239</v>
      </c>
      <c r="H83" t="n">
        <v>84.97198740767993</v>
      </c>
      <c r="I83" t="n">
        <v>1344.754886583235</v>
      </c>
      <c r="J83" t="n">
        <v>840.2240532487771</v>
      </c>
      <c r="K83" t="n">
        <v>1.006405136611647</v>
      </c>
      <c r="L83" t="n">
        <v>-4.480065216532694</v>
      </c>
      <c r="M83" t="n">
        <v>-0.6889416984222407</v>
      </c>
      <c r="N83" t="n">
        <v>-0.4933166868324861</v>
      </c>
      <c r="O83" t="n">
        <v>-0.4933166868324861</v>
      </c>
      <c r="P83" t="n">
        <v>0.5483319475080983</v>
      </c>
      <c r="Q83" t="n">
        <v>2.358587265880725</v>
      </c>
      <c r="R83" t="n">
        <v>0.7725421959664325</v>
      </c>
      <c r="S83">
        <f>Q83-P83</f>
        <v/>
      </c>
      <c r="T83">
        <f>Q83-Settings!$B$5</f>
        <v/>
      </c>
      <c r="U83">
        <f>0.5*(P83+T83)</f>
        <v/>
      </c>
      <c r="V83">
        <f>AVERAGE(K64:K83)</f>
        <v/>
      </c>
      <c r="W83">
        <f>AVERAGE(L64:L83)</f>
        <v/>
      </c>
      <c r="X83">
        <f>AVERAGE(P64:P83)</f>
        <v/>
      </c>
      <c r="Y83">
        <f>AVERAGE(T64:T83)</f>
        <v/>
      </c>
      <c r="Z83">
        <f>AVERAGE(U64:U83)</f>
        <v/>
      </c>
      <c r="AA83">
        <f>0.5*V83+0.5*X83</f>
        <v/>
      </c>
      <c r="AB83">
        <f>Settings!$B$3+Settings!$B$4*W83</f>
        <v/>
      </c>
      <c r="AC83">
        <f>Z83</f>
        <v/>
      </c>
      <c r="AD83">
        <f>0.5*V83+0.5*Z83</f>
        <v/>
      </c>
      <c r="AE83">
        <f>(X83+Y83+V83)/3</f>
        <v/>
      </c>
      <c r="AF83">
        <f>0.7*X83+0.3*V83</f>
        <v/>
      </c>
    </row>
    <row r="84">
      <c r="A84" t="inlineStr">
        <is>
          <t>2005-07-01</t>
        </is>
      </c>
      <c r="B84" t="n">
        <v>693990.1257340334</v>
      </c>
      <c r="C84" t="n">
        <v>380023.6886336995</v>
      </c>
      <c r="D84" t="n">
        <v>64.57882328400696</v>
      </c>
      <c r="E84" t="n">
        <v>0.1094921696418721</v>
      </c>
      <c r="F84" t="n">
        <v>0.260896009810119</v>
      </c>
      <c r="G84" t="n">
        <v>1.894747920650056</v>
      </c>
      <c r="H84" t="n">
        <v>84.8964018723855</v>
      </c>
      <c r="I84" t="n">
        <v>1345.021301133878</v>
      </c>
      <c r="J84" t="n">
        <v>840.6557156622973</v>
      </c>
      <c r="K84" t="n">
        <v>1.065658202570376</v>
      </c>
      <c r="L84" t="n">
        <v>1.726649654081029</v>
      </c>
      <c r="M84" t="n">
        <v>-0.7446556192328444</v>
      </c>
      <c r="N84" t="n">
        <v>-0.5956649290910718</v>
      </c>
      <c r="O84" t="n">
        <v>-0.5956649290910718</v>
      </c>
      <c r="P84" t="n">
        <v>0.705157098732944</v>
      </c>
      <c r="Q84" t="n">
        <v>2.490412849741127</v>
      </c>
      <c r="R84" t="n">
        <v>0.8565609389011908</v>
      </c>
      <c r="S84">
        <f>Q84-P84</f>
        <v/>
      </c>
      <c r="T84">
        <f>Q84-Settings!$B$5</f>
        <v/>
      </c>
      <c r="U84">
        <f>0.5*(P84+T84)</f>
        <v/>
      </c>
      <c r="V84">
        <f>AVERAGE(K65:K84)</f>
        <v/>
      </c>
      <c r="W84">
        <f>AVERAGE(L65:L84)</f>
        <v/>
      </c>
      <c r="X84">
        <f>AVERAGE(P65:P84)</f>
        <v/>
      </c>
      <c r="Y84">
        <f>AVERAGE(T65:T84)</f>
        <v/>
      </c>
      <c r="Z84">
        <f>AVERAGE(U65:U84)</f>
        <v/>
      </c>
      <c r="AA84">
        <f>0.5*V84+0.5*X84</f>
        <v/>
      </c>
      <c r="AB84">
        <f>Settings!$B$3+Settings!$B$4*W84</f>
        <v/>
      </c>
      <c r="AC84">
        <f>Z84</f>
        <v/>
      </c>
      <c r="AD84">
        <f>0.5*V84+0.5*Z84</f>
        <v/>
      </c>
      <c r="AE84">
        <f>(X84+Y84+V84)/3</f>
        <v/>
      </c>
      <c r="AF84">
        <f>0.7*X84+0.3*V84</f>
        <v/>
      </c>
    </row>
    <row r="85">
      <c r="A85" t="inlineStr">
        <is>
          <t>2005-10-01</t>
        </is>
      </c>
      <c r="B85" t="n">
        <v>695320.5757850941</v>
      </c>
      <c r="C85" t="n">
        <v>385246.6015309285</v>
      </c>
      <c r="D85" t="n">
        <v>64.41756420423542</v>
      </c>
      <c r="E85" t="n">
        <v>0.0272588757371105</v>
      </c>
      <c r="F85" t="n">
        <v>0.1598408190768849</v>
      </c>
      <c r="G85" t="n">
        <v>1.986086486452037</v>
      </c>
      <c r="H85" t="n">
        <v>84.94775118601737</v>
      </c>
      <c r="I85" t="n">
        <v>1345.212827832162</v>
      </c>
      <c r="J85" t="n">
        <v>841.9602556118713</v>
      </c>
      <c r="K85" t="n">
        <v>0.7661067931358048</v>
      </c>
      <c r="L85" t="n">
        <v>5.218159798295801</v>
      </c>
      <c r="M85" t="n">
        <v>-1.000084835954567</v>
      </c>
      <c r="N85" t="n">
        <v>-0.8329000662315593</v>
      </c>
      <c r="O85" t="n">
        <v>-0.8329000662315593</v>
      </c>
      <c r="P85" t="n">
        <v>0.8601589419686698</v>
      </c>
      <c r="Q85" t="n">
        <v>2.818986552683596</v>
      </c>
      <c r="R85" t="n">
        <v>0.9927408853084443</v>
      </c>
      <c r="S85">
        <f>Q85-P85</f>
        <v/>
      </c>
      <c r="T85">
        <f>Q85-Settings!$B$5</f>
        <v/>
      </c>
      <c r="U85">
        <f>0.5*(P85+T85)</f>
        <v/>
      </c>
      <c r="V85">
        <f>AVERAGE(K66:K85)</f>
        <v/>
      </c>
      <c r="W85">
        <f>AVERAGE(L66:L85)</f>
        <v/>
      </c>
      <c r="X85">
        <f>AVERAGE(P66:P85)</f>
        <v/>
      </c>
      <c r="Y85">
        <f>AVERAGE(T66:T85)</f>
        <v/>
      </c>
      <c r="Z85">
        <f>AVERAGE(U66:U85)</f>
        <v/>
      </c>
      <c r="AA85">
        <f>0.5*V85+0.5*X85</f>
        <v/>
      </c>
      <c r="AB85">
        <f>Settings!$B$3+Settings!$B$4*W85</f>
        <v/>
      </c>
      <c r="AC85">
        <f>Z85</f>
        <v/>
      </c>
      <c r="AD85">
        <f>0.5*V85+0.5*Z85</f>
        <v/>
      </c>
      <c r="AE85">
        <f>(X85+Y85+V85)/3</f>
        <v/>
      </c>
      <c r="AF85">
        <f>0.7*X85+0.3*V85</f>
        <v/>
      </c>
    </row>
    <row r="86">
      <c r="A86" t="inlineStr">
        <is>
          <t>2006-01-01</t>
        </is>
      </c>
      <c r="B86" t="n">
        <v>694528.8492736233</v>
      </c>
      <c r="C86" t="n">
        <v>386455.5940321372</v>
      </c>
      <c r="D86" t="n">
        <v>64.3365329314036</v>
      </c>
      <c r="E86" t="n">
        <v>0.1668093050006085</v>
      </c>
      <c r="F86" t="n">
        <v>0.3968616669301537</v>
      </c>
      <c r="G86" t="n">
        <v>1.904588560471137</v>
      </c>
      <c r="H86" t="n">
        <v>84.97225629784633</v>
      </c>
      <c r="I86" t="n">
        <v>1345.098897994464</v>
      </c>
      <c r="J86" t="n">
        <v>842.2447441150517</v>
      </c>
      <c r="K86" t="n">
        <v>-0.4557193507926058</v>
      </c>
      <c r="L86" t="n">
        <v>1.137954012721821</v>
      </c>
      <c r="M86" t="n">
        <v>-0.5034793320464814</v>
      </c>
      <c r="N86" t="n">
        <v>-0.7342903714140334</v>
      </c>
      <c r="O86" t="n">
        <v>-0.7342903714140334</v>
      </c>
      <c r="P86" t="n">
        <v>0.9010996764146419</v>
      </c>
      <c r="Q86" t="n">
        <v>2.63887893188517</v>
      </c>
      <c r="R86" t="n">
        <v>1.131152038344187</v>
      </c>
      <c r="S86">
        <f>Q86-P86</f>
        <v/>
      </c>
      <c r="T86">
        <f>Q86-Settings!$B$5</f>
        <v/>
      </c>
      <c r="U86">
        <f>0.5*(P86+T86)</f>
        <v/>
      </c>
      <c r="V86">
        <f>AVERAGE(K67:K86)</f>
        <v/>
      </c>
      <c r="W86">
        <f>AVERAGE(L67:L86)</f>
        <v/>
      </c>
      <c r="X86">
        <f>AVERAGE(P67:P86)</f>
        <v/>
      </c>
      <c r="Y86">
        <f>AVERAGE(T67:T86)</f>
        <v/>
      </c>
      <c r="Z86">
        <f>AVERAGE(U67:U86)</f>
        <v/>
      </c>
      <c r="AA86">
        <f>0.5*V86+0.5*X86</f>
        <v/>
      </c>
      <c r="AB86">
        <f>Settings!$B$3+Settings!$B$4*W86</f>
        <v/>
      </c>
      <c r="AC86">
        <f>Z86</f>
        <v/>
      </c>
      <c r="AD86">
        <f>0.5*V86+0.5*Z86</f>
        <v/>
      </c>
      <c r="AE86">
        <f>(X86+Y86+V86)/3</f>
        <v/>
      </c>
      <c r="AF86">
        <f>0.7*X86+0.3*V86</f>
        <v/>
      </c>
    </row>
    <row r="87">
      <c r="A87" t="inlineStr">
        <is>
          <t>2006-04-01</t>
        </is>
      </c>
      <c r="B87" t="n">
        <v>696893.762077301</v>
      </c>
      <c r="C87" t="n">
        <v>381499.5648807592</v>
      </c>
      <c r="D87" t="n">
        <v>64.32444365175429</v>
      </c>
      <c r="E87" t="n">
        <v>0.1623974992529716</v>
      </c>
      <c r="F87" t="n">
        <v>0.3980292520508297</v>
      </c>
      <c r="G87" t="n">
        <v>2.16842731630538</v>
      </c>
      <c r="H87" t="n">
        <v>84.87113219100895</v>
      </c>
      <c r="I87" t="n">
        <v>1345.438825642845</v>
      </c>
      <c r="J87" t="n">
        <v>841.0730974967894</v>
      </c>
      <c r="K87" t="n">
        <v>1.359710593525961</v>
      </c>
      <c r="L87" t="n">
        <v>-4.686586473049374</v>
      </c>
      <c r="M87" t="n">
        <v>-0.07516983008167699</v>
      </c>
      <c r="N87" t="n">
        <v>-0.5808474043288925</v>
      </c>
      <c r="O87" t="n">
        <v>-0.5808474043288925</v>
      </c>
      <c r="P87" t="n">
        <v>0.743244903581864</v>
      </c>
      <c r="Q87" t="n">
        <v>2.749274720634272</v>
      </c>
      <c r="R87" t="n">
        <v>0.9788766563797222</v>
      </c>
      <c r="S87">
        <f>Q87-P87</f>
        <v/>
      </c>
      <c r="T87">
        <f>Q87-Settings!$B$5</f>
        <v/>
      </c>
      <c r="U87">
        <f>0.5*(P87+T87)</f>
        <v/>
      </c>
      <c r="V87">
        <f>AVERAGE(K68:K87)</f>
        <v/>
      </c>
      <c r="W87">
        <f>AVERAGE(L68:L87)</f>
        <v/>
      </c>
      <c r="X87">
        <f>AVERAGE(P68:P87)</f>
        <v/>
      </c>
      <c r="Y87">
        <f>AVERAGE(T68:T87)</f>
        <v/>
      </c>
      <c r="Z87">
        <f>AVERAGE(U68:U87)</f>
        <v/>
      </c>
      <c r="AA87">
        <f>0.5*V87+0.5*X87</f>
        <v/>
      </c>
      <c r="AB87">
        <f>Settings!$B$3+Settings!$B$4*W87</f>
        <v/>
      </c>
      <c r="AC87">
        <f>Z87</f>
        <v/>
      </c>
      <c r="AD87">
        <f>0.5*V87+0.5*Z87</f>
        <v/>
      </c>
      <c r="AE87">
        <f>(X87+Y87+V87)/3</f>
        <v/>
      </c>
      <c r="AF87">
        <f>0.7*X87+0.3*V87</f>
        <v/>
      </c>
    </row>
    <row r="88">
      <c r="A88" t="inlineStr">
        <is>
          <t>2006-07-01</t>
        </is>
      </c>
      <c r="B88" t="n">
        <v>696991.7560265488</v>
      </c>
      <c r="C88" t="n">
        <v>382781.215214511</v>
      </c>
      <c r="D88" t="n">
        <v>64.26248641995117</v>
      </c>
      <c r="E88" t="n">
        <v>0.0873741332848517</v>
      </c>
      <c r="F88" t="n">
        <v>0.2567554426994516</v>
      </c>
      <c r="G88" t="n">
        <v>1.864830988362042</v>
      </c>
      <c r="H88" t="n">
        <v>84.8401557150648</v>
      </c>
      <c r="I88" t="n">
        <v>1345.452886187723</v>
      </c>
      <c r="J88" t="n">
        <v>841.4449900202856</v>
      </c>
      <c r="K88" t="n">
        <v>0.05624217951117316</v>
      </c>
      <c r="L88" t="n">
        <v>1.487570093984687</v>
      </c>
      <c r="M88" t="n">
        <v>-0.3854652199149768</v>
      </c>
      <c r="N88" t="n">
        <v>-0.4910498044994256</v>
      </c>
      <c r="O88" t="n">
        <v>-0.4910498044994256</v>
      </c>
      <c r="P88" t="n">
        <v>0.5784239377842773</v>
      </c>
      <c r="Q88" t="n">
        <v>2.355880792861468</v>
      </c>
      <c r="R88" t="n">
        <v>0.7478052471988772</v>
      </c>
      <c r="S88">
        <f>Q88-P88</f>
        <v/>
      </c>
      <c r="T88">
        <f>Q88-Settings!$B$5</f>
        <v/>
      </c>
      <c r="U88">
        <f>0.5*(P88+T88)</f>
        <v/>
      </c>
      <c r="V88">
        <f>AVERAGE(K69:K88)</f>
        <v/>
      </c>
      <c r="W88">
        <f>AVERAGE(L69:L88)</f>
        <v/>
      </c>
      <c r="X88">
        <f>AVERAGE(P69:P88)</f>
        <v/>
      </c>
      <c r="Y88">
        <f>AVERAGE(T69:T88)</f>
        <v/>
      </c>
      <c r="Z88">
        <f>AVERAGE(U69:U88)</f>
        <v/>
      </c>
      <c r="AA88">
        <f>0.5*V88+0.5*X88</f>
        <v/>
      </c>
      <c r="AB88">
        <f>Settings!$B$3+Settings!$B$4*W88</f>
        <v/>
      </c>
      <c r="AC88">
        <f>Z88</f>
        <v/>
      </c>
      <c r="AD88">
        <f>0.5*V88+0.5*Z88</f>
        <v/>
      </c>
      <c r="AE88">
        <f>(X88+Y88+V88)/3</f>
        <v/>
      </c>
      <c r="AF88">
        <f>0.7*X88+0.3*V88</f>
        <v/>
      </c>
    </row>
    <row r="89">
      <c r="A89" t="inlineStr">
        <is>
          <t>2006-10-01</t>
        </is>
      </c>
      <c r="B89" t="n">
        <v>697919.633423137</v>
      </c>
      <c r="C89" t="n">
        <v>384380.5891062585</v>
      </c>
      <c r="D89" t="n">
        <v>64.22383404588747</v>
      </c>
      <c r="E89" t="n">
        <v>0.1181727168919536</v>
      </c>
      <c r="F89" t="n">
        <v>0.2623776546955848</v>
      </c>
      <c r="G89" t="n">
        <v>1.790471072394931</v>
      </c>
      <c r="H89" t="n">
        <v>84.7692691518466</v>
      </c>
      <c r="I89" t="n">
        <v>1345.585923675331</v>
      </c>
      <c r="J89" t="n">
        <v>841.9455373160753</v>
      </c>
      <c r="K89" t="n">
        <v>0.5321499504334497</v>
      </c>
      <c r="L89" t="n">
        <v>2.002189183158862</v>
      </c>
      <c r="M89" t="n">
        <v>-0.2406629754173082</v>
      </c>
      <c r="N89" t="n">
        <v>-0.3011943393651109</v>
      </c>
      <c r="O89" t="n">
        <v>-0.3011943393651109</v>
      </c>
      <c r="P89" t="n">
        <v>0.4193670562570645</v>
      </c>
      <c r="Q89" t="n">
        <v>2.091665411760042</v>
      </c>
      <c r="R89" t="n">
        <v>0.5635719940606957</v>
      </c>
      <c r="S89">
        <f>Q89-P89</f>
        <v/>
      </c>
      <c r="T89">
        <f>Q89-Settings!$B$5</f>
        <v/>
      </c>
      <c r="U89">
        <f>0.5*(P89+T89)</f>
        <v/>
      </c>
      <c r="V89">
        <f>AVERAGE(K70:K89)</f>
        <v/>
      </c>
      <c r="W89">
        <f>AVERAGE(L70:L89)</f>
        <v/>
      </c>
      <c r="X89">
        <f>AVERAGE(P70:P89)</f>
        <v/>
      </c>
      <c r="Y89">
        <f>AVERAGE(T70:T89)</f>
        <v/>
      </c>
      <c r="Z89">
        <f>AVERAGE(U70:U89)</f>
        <v/>
      </c>
      <c r="AA89">
        <f>0.5*V89+0.5*X89</f>
        <v/>
      </c>
      <c r="AB89">
        <f>Settings!$B$3+Settings!$B$4*W89</f>
        <v/>
      </c>
      <c r="AC89">
        <f>Z89</f>
        <v/>
      </c>
      <c r="AD89">
        <f>0.5*V89+0.5*Z89</f>
        <v/>
      </c>
      <c r="AE89">
        <f>(X89+Y89+V89)/3</f>
        <v/>
      </c>
      <c r="AF89">
        <f>0.7*X89+0.3*V89</f>
        <v/>
      </c>
    </row>
    <row r="90">
      <c r="A90" t="inlineStr">
        <is>
          <t>2007-01-01</t>
        </is>
      </c>
      <c r="B90" t="n">
        <v>699751.304170105</v>
      </c>
      <c r="C90" t="n">
        <v>387533.6880747149</v>
      </c>
      <c r="D90" t="n">
        <v>64.22813160694454</v>
      </c>
      <c r="E90" t="n">
        <v>-0.0204960982899937</v>
      </c>
      <c r="F90" t="n">
        <v>0.1824749463402223</v>
      </c>
      <c r="G90" t="n">
        <v>1.786495859809489</v>
      </c>
      <c r="H90" t="n">
        <v>84.78853536732238</v>
      </c>
      <c r="I90" t="n">
        <v>1345.848027114174</v>
      </c>
      <c r="J90" t="n">
        <v>842.7397723445777</v>
      </c>
      <c r="K90" t="n">
        <v>1.048413755372167</v>
      </c>
      <c r="L90" t="n">
        <v>3.17694011400954</v>
      </c>
      <c r="M90" t="n">
        <v>0.02676524901312405</v>
      </c>
      <c r="N90" t="n">
        <v>-0.1686331941002095</v>
      </c>
      <c r="O90" t="n">
        <v>-0.1686331941002095</v>
      </c>
      <c r="P90" t="n">
        <v>0.1481370958102158</v>
      </c>
      <c r="Q90" t="n">
        <v>1.955129053909698</v>
      </c>
      <c r="R90" t="n">
        <v>0.3511081404404318</v>
      </c>
      <c r="S90">
        <f>Q90-P90</f>
        <v/>
      </c>
      <c r="T90">
        <f>Q90-Settings!$B$5</f>
        <v/>
      </c>
      <c r="U90">
        <f>0.5*(P90+T90)</f>
        <v/>
      </c>
      <c r="V90">
        <f>AVERAGE(K71:K90)</f>
        <v/>
      </c>
      <c r="W90">
        <f>AVERAGE(L71:L90)</f>
        <v/>
      </c>
      <c r="X90">
        <f>AVERAGE(P71:P90)</f>
        <v/>
      </c>
      <c r="Y90">
        <f>AVERAGE(T71:T90)</f>
        <v/>
      </c>
      <c r="Z90">
        <f>AVERAGE(U71:U90)</f>
        <v/>
      </c>
      <c r="AA90">
        <f>0.5*V90+0.5*X90</f>
        <v/>
      </c>
      <c r="AB90">
        <f>Settings!$B$3+Settings!$B$4*W90</f>
        <v/>
      </c>
      <c r="AC90">
        <f>Z90</f>
        <v/>
      </c>
      <c r="AD90">
        <f>0.5*V90+0.5*Z90</f>
        <v/>
      </c>
      <c r="AE90">
        <f>(X90+Y90+V90)/3</f>
        <v/>
      </c>
      <c r="AF90">
        <f>0.7*X90+0.3*V90</f>
        <v/>
      </c>
    </row>
    <row r="91">
      <c r="A91" t="inlineStr">
        <is>
          <t>2007-04-01</t>
        </is>
      </c>
      <c r="B91" t="n">
        <v>701537.1579671446</v>
      </c>
      <c r="C91" t="n">
        <v>384325.341886544</v>
      </c>
      <c r="D91" t="n">
        <v>64.24391854782247</v>
      </c>
      <c r="E91" t="n">
        <v>0.0421826169867333</v>
      </c>
      <c r="F91" t="n">
        <v>0.2701077637772492</v>
      </c>
      <c r="G91" t="n">
        <v>1.734558096954857</v>
      </c>
      <c r="H91" t="n">
        <v>84.69536028701393</v>
      </c>
      <c r="I91" t="n">
        <v>1346.102914642638</v>
      </c>
      <c r="J91" t="n">
        <v>842.0183895392881</v>
      </c>
      <c r="K91" t="n">
        <v>1.019550113855075</v>
      </c>
      <c r="L91" t="n">
        <v>-2.885531221158089</v>
      </c>
      <c r="M91" t="n">
        <v>0.09830583968050632</v>
      </c>
      <c r="N91" t="n">
        <v>-0.1252642766596637</v>
      </c>
      <c r="O91" t="n">
        <v>-0.1252642766596637</v>
      </c>
      <c r="P91" t="n">
        <v>0.167446893646397</v>
      </c>
      <c r="Q91" t="n">
        <v>1.85982237361452</v>
      </c>
      <c r="R91" t="n">
        <v>0.3953720404369129</v>
      </c>
      <c r="S91">
        <f>Q91-P91</f>
        <v/>
      </c>
      <c r="T91">
        <f>Q91-Settings!$B$5</f>
        <v/>
      </c>
      <c r="U91">
        <f>0.5*(P91+T91)</f>
        <v/>
      </c>
      <c r="V91">
        <f>AVERAGE(K72:K91)</f>
        <v/>
      </c>
      <c r="W91">
        <f>AVERAGE(L72:L91)</f>
        <v/>
      </c>
      <c r="X91">
        <f>AVERAGE(P72:P91)</f>
        <v/>
      </c>
      <c r="Y91">
        <f>AVERAGE(T72:T91)</f>
        <v/>
      </c>
      <c r="Z91">
        <f>AVERAGE(U72:U91)</f>
        <v/>
      </c>
      <c r="AA91">
        <f>0.5*V91+0.5*X91</f>
        <v/>
      </c>
      <c r="AB91">
        <f>Settings!$B$3+Settings!$B$4*W91</f>
        <v/>
      </c>
      <c r="AC91">
        <f>Z91</f>
        <v/>
      </c>
      <c r="AD91">
        <f>0.5*V91+0.5*Z91</f>
        <v/>
      </c>
      <c r="AE91">
        <f>(X91+Y91+V91)/3</f>
        <v/>
      </c>
      <c r="AF91">
        <f>0.7*X91+0.3*V91</f>
        <v/>
      </c>
    </row>
    <row r="92">
      <c r="A92" t="inlineStr">
        <is>
          <t>2007-07-01</t>
        </is>
      </c>
      <c r="B92" t="n">
        <v>703910.7713733575</v>
      </c>
      <c r="C92" t="n">
        <v>386771.2723471815</v>
      </c>
      <c r="D92" t="n">
        <v>64.1924249879297</v>
      </c>
      <c r="E92" t="n">
        <v>0.0853110539923935</v>
      </c>
      <c r="F92" t="n">
        <v>0.339238889665423</v>
      </c>
      <c r="G92" t="n">
        <v>1.810135469211044</v>
      </c>
      <c r="H92" t="n">
        <v>84.70435610066406</v>
      </c>
      <c r="I92" t="n">
        <v>1346.440688189903</v>
      </c>
      <c r="J92" t="n">
        <v>842.6421739664189</v>
      </c>
      <c r="K92" t="n">
        <v>1.351094189058131</v>
      </c>
      <c r="L92" t="n">
        <v>2.495137708523089</v>
      </c>
      <c r="M92" t="n">
        <v>-0.3207413804179851</v>
      </c>
      <c r="N92" t="n">
        <v>-0.1090833167854157</v>
      </c>
      <c r="O92" t="n">
        <v>-0.1090833167854157</v>
      </c>
      <c r="P92" t="n">
        <v>0.1943943707778092</v>
      </c>
      <c r="Q92" t="n">
        <v>1.91921878599646</v>
      </c>
      <c r="R92" t="n">
        <v>0.4483222064508387</v>
      </c>
      <c r="S92">
        <f>Q92-P92</f>
        <v/>
      </c>
      <c r="T92">
        <f>Q92-Settings!$B$5</f>
        <v/>
      </c>
      <c r="U92">
        <f>0.5*(P92+T92)</f>
        <v/>
      </c>
      <c r="V92">
        <f>AVERAGE(K73:K92)</f>
        <v/>
      </c>
      <c r="W92">
        <f>AVERAGE(L73:L92)</f>
        <v/>
      </c>
      <c r="X92">
        <f>AVERAGE(P73:P92)</f>
        <v/>
      </c>
      <c r="Y92">
        <f>AVERAGE(T73:T92)</f>
        <v/>
      </c>
      <c r="Z92">
        <f>AVERAGE(U73:U92)</f>
        <v/>
      </c>
      <c r="AA92">
        <f>0.5*V92+0.5*X92</f>
        <v/>
      </c>
      <c r="AB92">
        <f>Settings!$B$3+Settings!$B$4*W92</f>
        <v/>
      </c>
      <c r="AC92">
        <f>Z92</f>
        <v/>
      </c>
      <c r="AD92">
        <f>0.5*V92+0.5*Z92</f>
        <v/>
      </c>
      <c r="AE92">
        <f>(X92+Y92+V92)/3</f>
        <v/>
      </c>
      <c r="AF92">
        <f>0.7*X92+0.3*V92</f>
        <v/>
      </c>
    </row>
    <row r="93">
      <c r="A93" t="inlineStr">
        <is>
          <t>2007-10-01</t>
        </is>
      </c>
      <c r="B93" t="n">
        <v>704891.3165635825</v>
      </c>
      <c r="C93" t="n">
        <v>388897.5648762297</v>
      </c>
      <c r="D93" t="n">
        <v>64.20945039707881</v>
      </c>
      <c r="E93" t="n">
        <v>0.046393348928657</v>
      </c>
      <c r="F93" t="n">
        <v>0.2618822760917005</v>
      </c>
      <c r="G93" t="n">
        <v>1.886096678930206</v>
      </c>
      <c r="H93" t="n">
        <v>84.73633930230545</v>
      </c>
      <c r="I93" t="n">
        <v>1346.579890900767</v>
      </c>
      <c r="J93" t="n">
        <v>843.1526713461336</v>
      </c>
      <c r="K93" t="n">
        <v>0.5568108434581518</v>
      </c>
      <c r="L93" t="n">
        <v>2.041989518858827</v>
      </c>
      <c r="M93" t="n">
        <v>0.1060757668708447</v>
      </c>
      <c r="N93" t="n">
        <v>-0.02239863121337748</v>
      </c>
      <c r="O93" t="n">
        <v>-0.02239863121337748</v>
      </c>
      <c r="P93" t="n">
        <v>0.06879198014203448</v>
      </c>
      <c r="Q93" t="n">
        <v>1.908495310143584</v>
      </c>
      <c r="R93" t="n">
        <v>0.284280907305078</v>
      </c>
      <c r="S93">
        <f>Q93-P93</f>
        <v/>
      </c>
      <c r="T93">
        <f>Q93-Settings!$B$5</f>
        <v/>
      </c>
      <c r="U93">
        <f>0.5*(P93+T93)</f>
        <v/>
      </c>
      <c r="V93">
        <f>AVERAGE(K74:K93)</f>
        <v/>
      </c>
      <c r="W93">
        <f>AVERAGE(L74:L93)</f>
        <v/>
      </c>
      <c r="X93">
        <f>AVERAGE(P74:P93)</f>
        <v/>
      </c>
      <c r="Y93">
        <f>AVERAGE(T74:T93)</f>
        <v/>
      </c>
      <c r="Z93">
        <f>AVERAGE(U74:U93)</f>
        <v/>
      </c>
      <c r="AA93">
        <f>0.5*V93+0.5*X93</f>
        <v/>
      </c>
      <c r="AB93">
        <f>Settings!$B$3+Settings!$B$4*W93</f>
        <v/>
      </c>
      <c r="AC93">
        <f>Z93</f>
        <v/>
      </c>
      <c r="AD93">
        <f>0.5*V93+0.5*Z93</f>
        <v/>
      </c>
      <c r="AE93">
        <f>(X93+Y93+V93)/3</f>
        <v/>
      </c>
      <c r="AF93">
        <f>0.7*X93+0.3*V93</f>
        <v/>
      </c>
    </row>
    <row r="94">
      <c r="A94" t="inlineStr">
        <is>
          <t>2008-01-01</t>
        </is>
      </c>
      <c r="B94" t="n">
        <v>705486.3369430562</v>
      </c>
      <c r="C94" t="n">
        <v>388692.8597639256</v>
      </c>
      <c r="D94" t="n">
        <v>64.16574474224792</v>
      </c>
      <c r="E94" t="n">
        <v>0.1357198241315329</v>
      </c>
      <c r="F94" t="n">
        <v>0.3245683232339621</v>
      </c>
      <c r="G94" t="n">
        <v>1.991278032996545</v>
      </c>
      <c r="H94" t="n">
        <v>84.76595065988707</v>
      </c>
      <c r="I94" t="n">
        <v>1346.664268359996</v>
      </c>
      <c r="J94" t="n">
        <v>843.0650810214369</v>
      </c>
      <c r="K94" t="n">
        <v>0.3375098369133411</v>
      </c>
      <c r="L94" t="n">
        <v>-0.3503612987869928</v>
      </c>
      <c r="M94" t="n">
        <v>-0.2723620024696629</v>
      </c>
      <c r="N94" t="n">
        <v>-0.09718044408407422</v>
      </c>
      <c r="O94" t="n">
        <v>-0.09718044408407422</v>
      </c>
      <c r="P94" t="n">
        <v>0.2329002682156071</v>
      </c>
      <c r="Q94" t="n">
        <v>2.08845847708062</v>
      </c>
      <c r="R94" t="n">
        <v>0.4217487673180363</v>
      </c>
      <c r="S94">
        <f>Q94-P94</f>
        <v/>
      </c>
      <c r="T94">
        <f>Q94-Settings!$B$5</f>
        <v/>
      </c>
      <c r="U94">
        <f>0.5*(P94+T94)</f>
        <v/>
      </c>
      <c r="V94">
        <f>AVERAGE(K75:K94)</f>
        <v/>
      </c>
      <c r="W94">
        <f>AVERAGE(L75:L94)</f>
        <v/>
      </c>
      <c r="X94">
        <f>AVERAGE(P75:P94)</f>
        <v/>
      </c>
      <c r="Y94">
        <f>AVERAGE(T75:T94)</f>
        <v/>
      </c>
      <c r="Z94">
        <f>AVERAGE(U75:U94)</f>
        <v/>
      </c>
      <c r="AA94">
        <f>0.5*V94+0.5*X94</f>
        <v/>
      </c>
      <c r="AB94">
        <f>Settings!$B$3+Settings!$B$4*W94</f>
        <v/>
      </c>
      <c r="AC94">
        <f>Z94</f>
        <v/>
      </c>
      <c r="AD94">
        <f>0.5*V94+0.5*Z94</f>
        <v/>
      </c>
      <c r="AE94">
        <f>(X94+Y94+V94)/3</f>
        <v/>
      </c>
      <c r="AF94">
        <f>0.7*X94+0.3*V94</f>
        <v/>
      </c>
    </row>
    <row r="95">
      <c r="A95" t="inlineStr">
        <is>
          <t>2008-04-01</t>
        </is>
      </c>
      <c r="B95" t="n">
        <v>707183.6989034526</v>
      </c>
      <c r="C95" t="n">
        <v>388366.2492761719</v>
      </c>
      <c r="D95" t="n">
        <v>64.0773821211626</v>
      </c>
      <c r="E95" t="n">
        <v>0.1998648265373997</v>
      </c>
      <c r="F95" t="n">
        <v>0.3730709078898538</v>
      </c>
      <c r="G95" t="n">
        <v>1.937648056511974</v>
      </c>
      <c r="H95" t="n">
        <v>84.81546054306148</v>
      </c>
      <c r="I95" t="n">
        <v>1346.904573984683</v>
      </c>
      <c r="J95" t="n">
        <v>842.9226270901505</v>
      </c>
      <c r="K95" t="n">
        <v>0.961222498749521</v>
      </c>
      <c r="L95" t="n">
        <v>-0.5698157251454177</v>
      </c>
      <c r="M95" t="n">
        <v>-0.5512194671482575</v>
      </c>
      <c r="N95" t="n">
        <v>-0.2595617707912652</v>
      </c>
      <c r="O95" t="n">
        <v>-0.2595617707912652</v>
      </c>
      <c r="P95" t="n">
        <v>0.4594265973286649</v>
      </c>
      <c r="Q95" t="n">
        <v>2.197209827303239</v>
      </c>
      <c r="R95" t="n">
        <v>0.6326326786811189</v>
      </c>
      <c r="S95">
        <f>Q95-P95</f>
        <v/>
      </c>
      <c r="T95">
        <f>Q95-Settings!$B$5</f>
        <v/>
      </c>
      <c r="U95">
        <f>0.5*(P95+T95)</f>
        <v/>
      </c>
      <c r="V95">
        <f>AVERAGE(K76:K95)</f>
        <v/>
      </c>
      <c r="W95">
        <f>AVERAGE(L76:L95)</f>
        <v/>
      </c>
      <c r="X95">
        <f>AVERAGE(P76:P95)</f>
        <v/>
      </c>
      <c r="Y95">
        <f>AVERAGE(T76:T95)</f>
        <v/>
      </c>
      <c r="Z95">
        <f>AVERAGE(U76:U95)</f>
        <v/>
      </c>
      <c r="AA95">
        <f>0.5*V95+0.5*X95</f>
        <v/>
      </c>
      <c r="AB95">
        <f>Settings!$B$3+Settings!$B$4*W95</f>
        <v/>
      </c>
      <c r="AC95">
        <f>Z95</f>
        <v/>
      </c>
      <c r="AD95">
        <f>0.5*V95+0.5*Z95</f>
        <v/>
      </c>
      <c r="AE95">
        <f>(X95+Y95+V95)/3</f>
        <v/>
      </c>
      <c r="AF95">
        <f>0.7*X95+0.3*V95</f>
        <v/>
      </c>
    </row>
    <row r="96">
      <c r="A96" t="inlineStr">
        <is>
          <t>2008-07-01</t>
        </is>
      </c>
      <c r="B96" t="n">
        <v>705904.3325844604</v>
      </c>
      <c r="C96" t="n">
        <v>388039.6128722297</v>
      </c>
      <c r="D96" t="n">
        <v>64.00080416579091</v>
      </c>
      <c r="E96" t="n">
        <v>0.0411692640285349</v>
      </c>
      <c r="F96" t="n">
        <v>0.2415128027786545</v>
      </c>
      <c r="G96" t="n">
        <v>1.939909778533175</v>
      </c>
      <c r="H96" t="n">
        <v>84.62067074574647</v>
      </c>
      <c r="I96" t="n">
        <v>1346.723500103927</v>
      </c>
      <c r="J96" t="n">
        <v>843.0684136602252</v>
      </c>
      <c r="K96" t="n">
        <v>-0.7242955230221924</v>
      </c>
      <c r="L96" t="n">
        <v>0.5831462802989336</v>
      </c>
      <c r="M96" t="n">
        <v>-0.4783201056595772</v>
      </c>
      <c r="N96" t="n">
        <v>-0.2989564521016632</v>
      </c>
      <c r="O96" t="n">
        <v>-0.2989564521016632</v>
      </c>
      <c r="P96" t="n">
        <v>0.3401257161301981</v>
      </c>
      <c r="Q96" t="n">
        <v>2.238866230634838</v>
      </c>
      <c r="R96" t="n">
        <v>0.5404692548803177</v>
      </c>
      <c r="S96">
        <f>Q96-P96</f>
        <v/>
      </c>
      <c r="T96">
        <f>Q96-Settings!$B$5</f>
        <v/>
      </c>
      <c r="U96">
        <f>0.5*(P96+T96)</f>
        <v/>
      </c>
      <c r="V96">
        <f>AVERAGE(K77:K96)</f>
        <v/>
      </c>
      <c r="W96">
        <f>AVERAGE(L77:L96)</f>
        <v/>
      </c>
      <c r="X96">
        <f>AVERAGE(P77:P96)</f>
        <v/>
      </c>
      <c r="Y96">
        <f>AVERAGE(T77:T96)</f>
        <v/>
      </c>
      <c r="Z96">
        <f>AVERAGE(U77:U96)</f>
        <v/>
      </c>
      <c r="AA96">
        <f>0.5*V96+0.5*X96</f>
        <v/>
      </c>
      <c r="AB96">
        <f>Settings!$B$3+Settings!$B$4*W96</f>
        <v/>
      </c>
      <c r="AC96">
        <f>Z96</f>
        <v/>
      </c>
      <c r="AD96">
        <f>0.5*V96+0.5*Z96</f>
        <v/>
      </c>
      <c r="AE96">
        <f>(X96+Y96+V96)/3</f>
        <v/>
      </c>
      <c r="AF96">
        <f>0.7*X96+0.3*V96</f>
        <v/>
      </c>
    </row>
    <row r="97">
      <c r="A97" t="inlineStr">
        <is>
          <t>2008-10-01</t>
        </is>
      </c>
      <c r="B97" t="n">
        <v>705604.0857625738</v>
      </c>
      <c r="C97" t="n">
        <v>385953.81466015</v>
      </c>
      <c r="D97" t="n">
        <v>63.88184760496056</v>
      </c>
      <c r="E97" t="n">
        <v>0.0581268297957403</v>
      </c>
      <c r="F97" t="n">
        <v>0.2491488886791826</v>
      </c>
      <c r="G97" t="n">
        <v>1.973877605597854</v>
      </c>
      <c r="H97" t="n">
        <v>84.69676500783227</v>
      </c>
      <c r="I97" t="n">
        <v>1346.680957413779</v>
      </c>
      <c r="J97" t="n">
        <v>842.4395582752162</v>
      </c>
      <c r="K97" t="n">
        <v>-0.1701707605925549</v>
      </c>
      <c r="L97" t="n">
        <v>-2.515421540036186</v>
      </c>
      <c r="M97" t="n">
        <v>-0.7441609537693239</v>
      </c>
      <c r="N97" t="n">
        <v>-0.5115156322617054</v>
      </c>
      <c r="O97" t="n">
        <v>-0.5115156322617054</v>
      </c>
      <c r="P97" t="n">
        <v>0.5696424620574456</v>
      </c>
      <c r="Q97" t="n">
        <v>2.485393237859559</v>
      </c>
      <c r="R97" t="n">
        <v>0.760664520940888</v>
      </c>
      <c r="S97">
        <f>Q97-P97</f>
        <v/>
      </c>
      <c r="T97">
        <f>Q97-Settings!$B$5</f>
        <v/>
      </c>
      <c r="U97">
        <f>0.5*(P97+T97)</f>
        <v/>
      </c>
      <c r="V97">
        <f>AVERAGE(K78:K97)</f>
        <v/>
      </c>
      <c r="W97">
        <f>AVERAGE(L78:L97)</f>
        <v/>
      </c>
      <c r="X97">
        <f>AVERAGE(P78:P97)</f>
        <v/>
      </c>
      <c r="Y97">
        <f>AVERAGE(T78:T97)</f>
        <v/>
      </c>
      <c r="Z97">
        <f>AVERAGE(U78:U97)</f>
        <v/>
      </c>
      <c r="AA97">
        <f>0.5*V97+0.5*X97</f>
        <v/>
      </c>
      <c r="AB97">
        <f>Settings!$B$3+Settings!$B$4*W97</f>
        <v/>
      </c>
      <c r="AC97">
        <f>Z97</f>
        <v/>
      </c>
      <c r="AD97">
        <f>0.5*V97+0.5*Z97</f>
        <v/>
      </c>
      <c r="AE97">
        <f>(X97+Y97+V97)/3</f>
        <v/>
      </c>
      <c r="AF97">
        <f>0.7*X97+0.3*V97</f>
        <v/>
      </c>
    </row>
    <row r="98">
      <c r="A98" t="inlineStr">
        <is>
          <t>2009-01-01</t>
        </is>
      </c>
      <c r="B98" t="n">
        <v>706056.5307213841</v>
      </c>
      <c r="C98" t="n">
        <v>387961.3069906061</v>
      </c>
      <c r="D98" t="n">
        <v>63.7914485178321</v>
      </c>
      <c r="E98" t="n">
        <v>0.1117724184154965</v>
      </c>
      <c r="F98" t="n">
        <v>0.281320381243632</v>
      </c>
      <c r="G98" t="n">
        <v>2.055402594071825</v>
      </c>
      <c r="H98" t="n">
        <v>84.61218762402008</v>
      </c>
      <c r="I98" t="n">
        <v>1346.745058511312</v>
      </c>
      <c r="J98" t="n">
        <v>843.0582571395676</v>
      </c>
      <c r="K98" t="n">
        <v>0.2564043901311379</v>
      </c>
      <c r="L98" t="n">
        <v>2.474795457405435</v>
      </c>
      <c r="M98" t="n">
        <v>-0.5664401561202794</v>
      </c>
      <c r="N98" t="n">
        <v>-0.5850351706743595</v>
      </c>
      <c r="O98" t="n">
        <v>-0.5850351706743595</v>
      </c>
      <c r="P98" t="n">
        <v>0.696807589089856</v>
      </c>
      <c r="Q98" t="n">
        <v>2.640437764746185</v>
      </c>
      <c r="R98" t="n">
        <v>0.8663555519179915</v>
      </c>
      <c r="S98">
        <f>Q98-P98</f>
        <v/>
      </c>
      <c r="T98">
        <f>Q98-Settings!$B$5</f>
        <v/>
      </c>
      <c r="U98">
        <f>0.5*(P98+T98)</f>
        <v/>
      </c>
      <c r="V98">
        <f>AVERAGE(K79:K98)</f>
        <v/>
      </c>
      <c r="W98">
        <f>AVERAGE(L79:L98)</f>
        <v/>
      </c>
      <c r="X98">
        <f>AVERAGE(P79:P98)</f>
        <v/>
      </c>
      <c r="Y98">
        <f>AVERAGE(T79:T98)</f>
        <v/>
      </c>
      <c r="Z98">
        <f>AVERAGE(U79:U98)</f>
        <v/>
      </c>
      <c r="AA98">
        <f>0.5*V98+0.5*X98</f>
        <v/>
      </c>
      <c r="AB98">
        <f>Settings!$B$3+Settings!$B$4*W98</f>
        <v/>
      </c>
      <c r="AC98">
        <f>Z98</f>
        <v/>
      </c>
      <c r="AD98">
        <f>0.5*V98+0.5*Z98</f>
        <v/>
      </c>
      <c r="AE98">
        <f>(X98+Y98+V98)/3</f>
        <v/>
      </c>
      <c r="AF98">
        <f>0.7*X98+0.3*V98</f>
        <v/>
      </c>
    </row>
    <row r="99">
      <c r="A99" t="inlineStr">
        <is>
          <t>2009-04-01</t>
        </is>
      </c>
      <c r="B99" t="n">
        <v>707690.1159411968</v>
      </c>
      <c r="C99" t="n">
        <v>388815.0411080632</v>
      </c>
      <c r="D99" t="n">
        <v>63.7265092054644</v>
      </c>
      <c r="E99" t="n">
        <v>0.180555807424981</v>
      </c>
      <c r="F99" t="n">
        <v>0.4420184769508797</v>
      </c>
      <c r="G99" t="n">
        <v>2.033497148137553</v>
      </c>
      <c r="H99" t="n">
        <v>84.56743761766269</v>
      </c>
      <c r="I99" t="n">
        <v>1346.976158751332</v>
      </c>
      <c r="J99" t="n">
        <v>843.3309742414164</v>
      </c>
      <c r="K99" t="n">
        <v>0.9244009600815843</v>
      </c>
      <c r="L99" t="n">
        <v>1.090868407395192</v>
      </c>
      <c r="M99" t="n">
        <v>-0.4074050064225503</v>
      </c>
      <c r="N99" t="n">
        <v>-0.5490815554929327</v>
      </c>
      <c r="O99" t="n">
        <v>-0.5490815554929327</v>
      </c>
      <c r="P99" t="n">
        <v>0.7296373629179137</v>
      </c>
      <c r="Q99" t="n">
        <v>2.582578703630486</v>
      </c>
      <c r="R99" t="n">
        <v>0.9911000324438124</v>
      </c>
      <c r="S99">
        <f>Q99-P99</f>
        <v/>
      </c>
      <c r="T99">
        <f>Q99-Settings!$B$5</f>
        <v/>
      </c>
      <c r="U99">
        <f>0.5*(P99+T99)</f>
        <v/>
      </c>
      <c r="V99">
        <f>AVERAGE(K80:K99)</f>
        <v/>
      </c>
      <c r="W99">
        <f>AVERAGE(L80:L99)</f>
        <v/>
      </c>
      <c r="X99">
        <f>AVERAGE(P80:P99)</f>
        <v/>
      </c>
      <c r="Y99">
        <f>AVERAGE(T80:T99)</f>
        <v/>
      </c>
      <c r="Z99">
        <f>AVERAGE(U80:U99)</f>
        <v/>
      </c>
      <c r="AA99">
        <f>0.5*V99+0.5*X99</f>
        <v/>
      </c>
      <c r="AB99">
        <f>Settings!$B$3+Settings!$B$4*W99</f>
        <v/>
      </c>
      <c r="AC99">
        <f>Z99</f>
        <v/>
      </c>
      <c r="AD99">
        <f>0.5*V99+0.5*Z99</f>
        <v/>
      </c>
      <c r="AE99">
        <f>(X99+Y99+V99)/3</f>
        <v/>
      </c>
      <c r="AF99">
        <f>0.7*X99+0.3*V99</f>
        <v/>
      </c>
    </row>
    <row r="100">
      <c r="A100" t="inlineStr">
        <is>
          <t>2009-07-01</t>
        </is>
      </c>
      <c r="B100" t="n">
        <v>712781.0720877351</v>
      </c>
      <c r="C100" t="n">
        <v>392393.828618955</v>
      </c>
      <c r="D100" t="n">
        <v>63.7171222660792</v>
      </c>
      <c r="E100" t="n">
        <v>0.0388812843730048</v>
      </c>
      <c r="F100" t="n">
        <v>0.2924363364351687</v>
      </c>
      <c r="G100" t="n">
        <v>1.975224155581575</v>
      </c>
      <c r="H100" t="n">
        <v>84.57162972258631</v>
      </c>
      <c r="I100" t="n">
        <v>1347.692960047603</v>
      </c>
      <c r="J100" t="n">
        <v>844.2422414976523</v>
      </c>
      <c r="K100" t="n">
        <v>2.86720518508173</v>
      </c>
      <c r="L100" t="n">
        <v>3.64506902494395</v>
      </c>
      <c r="M100" t="n">
        <v>-0.05892449418638535</v>
      </c>
      <c r="N100" t="n">
        <v>-0.4442326526246347</v>
      </c>
      <c r="O100" t="n">
        <v>-0.4442326526246347</v>
      </c>
      <c r="P100" t="n">
        <v>0.4831139369976395</v>
      </c>
      <c r="Q100" t="n">
        <v>2.41945680820621</v>
      </c>
      <c r="R100" t="n">
        <v>0.7366689890598035</v>
      </c>
      <c r="S100">
        <f>Q100-P100</f>
        <v/>
      </c>
      <c r="T100">
        <f>Q100-Settings!$B$5</f>
        <v/>
      </c>
      <c r="U100">
        <f>0.5*(P100+T100)</f>
        <v/>
      </c>
      <c r="V100">
        <f>AVERAGE(K81:K100)</f>
        <v/>
      </c>
      <c r="W100">
        <f>AVERAGE(L81:L100)</f>
        <v/>
      </c>
      <c r="X100">
        <f>AVERAGE(P81:P100)</f>
        <v/>
      </c>
      <c r="Y100">
        <f>AVERAGE(T81:T100)</f>
        <v/>
      </c>
      <c r="Z100">
        <f>AVERAGE(U81:U100)</f>
        <v/>
      </c>
      <c r="AA100">
        <f>0.5*V100+0.5*X100</f>
        <v/>
      </c>
      <c r="AB100">
        <f>Settings!$B$3+Settings!$B$4*W100</f>
        <v/>
      </c>
      <c r="AC100">
        <f>Z100</f>
        <v/>
      </c>
      <c r="AD100">
        <f>0.5*V100+0.5*Z100</f>
        <v/>
      </c>
      <c r="AE100">
        <f>(X100+Y100+V100)/3</f>
        <v/>
      </c>
      <c r="AF100">
        <f>0.7*X100+0.3*V100</f>
        <v/>
      </c>
    </row>
    <row r="101">
      <c r="A101" t="inlineStr">
        <is>
          <t>2009-10-01</t>
        </is>
      </c>
      <c r="B101" t="n">
        <v>715540.2110698569</v>
      </c>
      <c r="C101" t="n">
        <v>392673.8965907791</v>
      </c>
      <c r="D101" t="n">
        <v>63.75157561218344</v>
      </c>
      <c r="E101" t="n">
        <v>0.1124518061153471</v>
      </c>
      <c r="F101" t="n">
        <v>0.3465332666220099</v>
      </c>
      <c r="G101" t="n">
        <v>1.724371963317942</v>
      </c>
      <c r="H101" t="n">
        <v>84.52809582418401</v>
      </c>
      <c r="I101" t="n">
        <v>1348.079307635736</v>
      </c>
      <c r="J101" t="n">
        <v>844.3650792666773</v>
      </c>
      <c r="K101" t="n">
        <v>1.545390352531285</v>
      </c>
      <c r="L101" t="n">
        <v>0.4913510760998179</v>
      </c>
      <c r="M101" t="n">
        <v>0.2162309493498924</v>
      </c>
      <c r="N101" t="n">
        <v>-0.2041346768448307</v>
      </c>
      <c r="O101" t="n">
        <v>-0.2041346768448307</v>
      </c>
      <c r="P101" t="n">
        <v>0.3165864829601778</v>
      </c>
      <c r="Q101" t="n">
        <v>1.928506640162772</v>
      </c>
      <c r="R101" t="n">
        <v>0.5506679434668406</v>
      </c>
      <c r="S101">
        <f>Q101-P101</f>
        <v/>
      </c>
      <c r="T101">
        <f>Q101-Settings!$B$5</f>
        <v/>
      </c>
      <c r="U101">
        <f>0.5*(P101+T101)</f>
        <v/>
      </c>
      <c r="V101">
        <f>AVERAGE(K82:K101)</f>
        <v/>
      </c>
      <c r="W101">
        <f>AVERAGE(L82:L101)</f>
        <v/>
      </c>
      <c r="X101">
        <f>AVERAGE(P82:P101)</f>
        <v/>
      </c>
      <c r="Y101">
        <f>AVERAGE(T82:T101)</f>
        <v/>
      </c>
      <c r="Z101">
        <f>AVERAGE(U82:U101)</f>
        <v/>
      </c>
      <c r="AA101">
        <f>0.5*V101+0.5*X101</f>
        <v/>
      </c>
      <c r="AB101">
        <f>Settings!$B$3+Settings!$B$4*W101</f>
        <v/>
      </c>
      <c r="AC101">
        <f>Z101</f>
        <v/>
      </c>
      <c r="AD101">
        <f>0.5*V101+0.5*Z101</f>
        <v/>
      </c>
      <c r="AE101">
        <f>(X101+Y101+V101)/3</f>
        <v/>
      </c>
      <c r="AF101">
        <f>0.7*X101+0.3*V101</f>
        <v/>
      </c>
    </row>
    <row r="102">
      <c r="A102" t="inlineStr">
        <is>
          <t>2010-01-01</t>
        </is>
      </c>
      <c r="B102" t="n">
        <v>719829.8044176549</v>
      </c>
      <c r="C102" t="n">
        <v>396653.8375678812</v>
      </c>
      <c r="D102" t="n">
        <v>63.63777643256835</v>
      </c>
      <c r="E102" t="n">
        <v>0.1910649425406554</v>
      </c>
      <c r="F102" t="n">
        <v>0.3634394306063817</v>
      </c>
      <c r="G102" t="n">
        <v>1.959274287677809</v>
      </c>
      <c r="H102" t="n">
        <v>84.50551978628062</v>
      </c>
      <c r="I102" t="n">
        <v>1348.677008029618</v>
      </c>
      <c r="J102" t="n">
        <v>845.4002378486491</v>
      </c>
      <c r="K102" t="n">
        <v>2.390801575527803</v>
      </c>
      <c r="L102" t="n">
        <v>4.140634327887255</v>
      </c>
      <c r="M102" t="n">
        <v>-0.7146544546130826</v>
      </c>
      <c r="N102" t="n">
        <v>-0.2411882514680315</v>
      </c>
      <c r="O102" t="n">
        <v>-0.2411882514680315</v>
      </c>
      <c r="P102" t="n">
        <v>0.4322531940086869</v>
      </c>
      <c r="Q102" t="n">
        <v>2.200462539145841</v>
      </c>
      <c r="R102" t="n">
        <v>0.6046276820744132</v>
      </c>
      <c r="S102">
        <f>Q102-P102</f>
        <v/>
      </c>
      <c r="T102">
        <f>Q102-Settings!$B$5</f>
        <v/>
      </c>
      <c r="U102">
        <f>0.5*(P102+T102)</f>
        <v/>
      </c>
      <c r="V102">
        <f>AVERAGE(K83:K102)</f>
        <v/>
      </c>
      <c r="W102">
        <f>AVERAGE(L83:L102)</f>
        <v/>
      </c>
      <c r="X102">
        <f>AVERAGE(P83:P102)</f>
        <v/>
      </c>
      <c r="Y102">
        <f>AVERAGE(T83:T102)</f>
        <v/>
      </c>
      <c r="Z102">
        <f>AVERAGE(U83:U102)</f>
        <v/>
      </c>
      <c r="AA102">
        <f>0.5*V102+0.5*X102</f>
        <v/>
      </c>
      <c r="AB102">
        <f>Settings!$B$3+Settings!$B$4*W102</f>
        <v/>
      </c>
      <c r="AC102">
        <f>Z102</f>
        <v/>
      </c>
      <c r="AD102">
        <f>0.5*V102+0.5*Z102</f>
        <v/>
      </c>
      <c r="AE102">
        <f>(X102+Y102+V102)/3</f>
        <v/>
      </c>
      <c r="AF102">
        <f>0.7*X102+0.3*V102</f>
        <v/>
      </c>
    </row>
    <row r="103">
      <c r="A103" t="inlineStr">
        <is>
          <t>2010-04-01</t>
        </is>
      </c>
      <c r="B103" t="n">
        <v>728111.4079752194</v>
      </c>
      <c r="C103" t="n">
        <v>402086.7783787547</v>
      </c>
      <c r="D103" t="n">
        <v>63.60880369748921</v>
      </c>
      <c r="E103" t="n">
        <v>0.0174120425910366</v>
      </c>
      <c r="F103" t="n">
        <v>0.243062622319955</v>
      </c>
      <c r="G103" t="n">
        <v>1.730711516958694</v>
      </c>
      <c r="H103" t="n">
        <v>84.45458334185867</v>
      </c>
      <c r="I103" t="n">
        <v>1349.820934840347</v>
      </c>
      <c r="J103" t="n">
        <v>846.8209296291875</v>
      </c>
      <c r="K103" t="n">
        <v>4.575707242918725</v>
      </c>
      <c r="L103" t="n">
        <v>5.682767122153564</v>
      </c>
      <c r="M103" t="n">
        <v>-0.1821517595221849</v>
      </c>
      <c r="N103" t="n">
        <v>-0.1848749397429401</v>
      </c>
      <c r="O103" t="n">
        <v>-0.1848749397429401</v>
      </c>
      <c r="P103" t="n">
        <v>0.2022869823339767</v>
      </c>
      <c r="Q103" t="n">
        <v>1.915586456701634</v>
      </c>
      <c r="R103" t="n">
        <v>0.4279375620628951</v>
      </c>
      <c r="S103">
        <f>Q103-P103</f>
        <v/>
      </c>
      <c r="T103">
        <f>Q103-Settings!$B$5</f>
        <v/>
      </c>
      <c r="U103">
        <f>0.5*(P103+T103)</f>
        <v/>
      </c>
      <c r="V103">
        <f>AVERAGE(K84:K103)</f>
        <v/>
      </c>
      <c r="W103">
        <f>AVERAGE(L84:L103)</f>
        <v/>
      </c>
      <c r="X103">
        <f>AVERAGE(P84:P103)</f>
        <v/>
      </c>
      <c r="Y103">
        <f>AVERAGE(T84:T103)</f>
        <v/>
      </c>
      <c r="Z103">
        <f>AVERAGE(U84:U103)</f>
        <v/>
      </c>
      <c r="AA103">
        <f>0.5*V103+0.5*X103</f>
        <v/>
      </c>
      <c r="AB103">
        <f>Settings!$B$3+Settings!$B$4*W103</f>
        <v/>
      </c>
      <c r="AC103">
        <f>Z103</f>
        <v/>
      </c>
      <c r="AD103">
        <f>0.5*V103+0.5*Z103</f>
        <v/>
      </c>
      <c r="AE103">
        <f>(X103+Y103+V103)/3</f>
        <v/>
      </c>
      <c r="AF103">
        <f>0.7*X103+0.3*V103</f>
        <v/>
      </c>
    </row>
    <row r="104">
      <c r="A104" t="inlineStr">
        <is>
          <t>2010-07-01</t>
        </is>
      </c>
      <c r="B104" t="n">
        <v>733067.3195003055</v>
      </c>
      <c r="C104" t="n">
        <v>403437.7720170788</v>
      </c>
      <c r="D104" t="n">
        <v>63.51153073098921</v>
      </c>
      <c r="E104" t="n">
        <v>0.0359465396577084</v>
      </c>
      <c r="F104" t="n">
        <v>0.2551353319426454</v>
      </c>
      <c r="G104" t="n">
        <v>1.847869125770448</v>
      </c>
      <c r="H104" t="n">
        <v>84.38009451701006</v>
      </c>
      <c r="I104" t="n">
        <v>1350.499281771619</v>
      </c>
      <c r="J104" t="n">
        <v>847.2446007440459</v>
      </c>
      <c r="K104" t="n">
        <v>2.713387725088069</v>
      </c>
      <c r="L104" t="n">
        <v>1.694684459433574</v>
      </c>
      <c r="M104" t="n">
        <v>-0.6121631817470643</v>
      </c>
      <c r="N104" t="n">
        <v>-0.3231846116331099</v>
      </c>
      <c r="O104" t="n">
        <v>-0.3231846116331099</v>
      </c>
      <c r="P104" t="n">
        <v>0.3591311512908182</v>
      </c>
      <c r="Q104" t="n">
        <v>2.171053737403558</v>
      </c>
      <c r="R104" t="n">
        <v>0.5783199435757553</v>
      </c>
      <c r="S104">
        <f>Q104-P104</f>
        <v/>
      </c>
      <c r="T104">
        <f>Q104-Settings!$B$5</f>
        <v/>
      </c>
      <c r="U104">
        <f>0.5*(P104+T104)</f>
        <v/>
      </c>
      <c r="V104">
        <f>AVERAGE(K85:K104)</f>
        <v/>
      </c>
      <c r="W104">
        <f>AVERAGE(L85:L104)</f>
        <v/>
      </c>
      <c r="X104">
        <f>AVERAGE(P85:P104)</f>
        <v/>
      </c>
      <c r="Y104">
        <f>AVERAGE(T85:T104)</f>
        <v/>
      </c>
      <c r="Z104">
        <f>AVERAGE(U85:U104)</f>
        <v/>
      </c>
      <c r="AA104">
        <f>0.5*V104+0.5*X104</f>
        <v/>
      </c>
      <c r="AB104">
        <f>Settings!$B$3+Settings!$B$4*W104</f>
        <v/>
      </c>
      <c r="AC104">
        <f>Z104</f>
        <v/>
      </c>
      <c r="AD104">
        <f>0.5*V104+0.5*Z104</f>
        <v/>
      </c>
      <c r="AE104">
        <f>(X104+Y104+V104)/3</f>
        <v/>
      </c>
      <c r="AF104">
        <f>0.7*X104+0.3*V104</f>
        <v/>
      </c>
    </row>
    <row r="105">
      <c r="A105" t="inlineStr">
        <is>
          <t>2010-10-01</t>
        </is>
      </c>
      <c r="B105" t="n">
        <v>740614.5312595391</v>
      </c>
      <c r="C105" t="n">
        <v>407911.5305862899</v>
      </c>
      <c r="D105" t="n">
        <v>63.48651356540217</v>
      </c>
      <c r="E105" t="n">
        <v>0.0788196696769581</v>
      </c>
      <c r="F105" t="n">
        <v>0.2920960384030797</v>
      </c>
      <c r="G105" t="n">
        <v>1.821674747757284</v>
      </c>
      <c r="H105" t="n">
        <v>84.34781873987389</v>
      </c>
      <c r="I105" t="n">
        <v>1351.523556819752</v>
      </c>
      <c r="J105" t="n">
        <v>848.385664405186</v>
      </c>
      <c r="K105" t="n">
        <v>4.097100192529069</v>
      </c>
      <c r="L105" t="n">
        <v>4.564254644560606</v>
      </c>
      <c r="M105" t="n">
        <v>-0.1575908734607765</v>
      </c>
      <c r="N105" t="n">
        <v>-0.4166400673357771</v>
      </c>
      <c r="O105" t="n">
        <v>-0.4166400673357771</v>
      </c>
      <c r="P105" t="n">
        <v>0.4954597370127352</v>
      </c>
      <c r="Q105" t="n">
        <v>2.238314815093061</v>
      </c>
      <c r="R105" t="n">
        <v>0.7087361057388568</v>
      </c>
      <c r="S105">
        <f>Q105-P105</f>
        <v/>
      </c>
      <c r="T105">
        <f>Q105-Settings!$B$5</f>
        <v/>
      </c>
      <c r="U105">
        <f>0.5*(P105+T105)</f>
        <v/>
      </c>
      <c r="V105">
        <f>AVERAGE(K86:K105)</f>
        <v/>
      </c>
      <c r="W105">
        <f>AVERAGE(L86:L105)</f>
        <v/>
      </c>
      <c r="X105">
        <f>AVERAGE(P86:P105)</f>
        <v/>
      </c>
      <c r="Y105">
        <f>AVERAGE(T86:T105)</f>
        <v/>
      </c>
      <c r="Z105">
        <f>AVERAGE(U86:U105)</f>
        <v/>
      </c>
      <c r="AA105">
        <f>0.5*V105+0.5*X105</f>
        <v/>
      </c>
      <c r="AB105">
        <f>Settings!$B$3+Settings!$B$4*W105</f>
        <v/>
      </c>
      <c r="AC105">
        <f>Z105</f>
        <v/>
      </c>
      <c r="AD105">
        <f>0.5*V105+0.5*Z105</f>
        <v/>
      </c>
      <c r="AE105">
        <f>(X105+Y105+V105)/3</f>
        <v/>
      </c>
      <c r="AF105">
        <f>0.7*X105+0.3*V105</f>
        <v/>
      </c>
    </row>
    <row r="106">
      <c r="A106" t="inlineStr">
        <is>
          <t>2011-01-01</t>
        </is>
      </c>
      <c r="B106" t="n">
        <v>744525.1568023564</v>
      </c>
      <c r="C106" t="n">
        <v>409575.9115836868</v>
      </c>
      <c r="D106" t="n">
        <v>63.43267984161355</v>
      </c>
      <c r="E106" t="n">
        <v>0.07397057935722939</v>
      </c>
      <c r="F106" t="n">
        <v>0.3114605373685428</v>
      </c>
      <c r="G106" t="n">
        <v>1.857354795162256</v>
      </c>
      <c r="H106" t="n">
        <v>84.43266224416406</v>
      </c>
      <c r="I106" t="n">
        <v>1352.050192073325</v>
      </c>
      <c r="J106" t="n">
        <v>848.6923221214403</v>
      </c>
      <c r="K106" t="n">
        <v>2.106541014293725</v>
      </c>
      <c r="L106" t="n">
        <v>1.226630865016887</v>
      </c>
      <c r="M106" t="n">
        <v>-0.3393259952067638</v>
      </c>
      <c r="N106" t="n">
        <v>-0.3228079524841974</v>
      </c>
      <c r="O106" t="n">
        <v>-0.3228079524841974</v>
      </c>
      <c r="P106" t="n">
        <v>0.3967785318414268</v>
      </c>
      <c r="Q106" t="n">
        <v>2.180162747646453</v>
      </c>
      <c r="R106" t="n">
        <v>0.6342684898527402</v>
      </c>
      <c r="S106">
        <f>Q106-P106</f>
        <v/>
      </c>
      <c r="T106">
        <f>Q106-Settings!$B$5</f>
        <v/>
      </c>
      <c r="U106">
        <f>0.5*(P106+T106)</f>
        <v/>
      </c>
      <c r="V106">
        <f>AVERAGE(K87:K106)</f>
        <v/>
      </c>
      <c r="W106">
        <f>AVERAGE(L87:L106)</f>
        <v/>
      </c>
      <c r="X106">
        <f>AVERAGE(P87:P106)</f>
        <v/>
      </c>
      <c r="Y106">
        <f>AVERAGE(T87:T106)</f>
        <v/>
      </c>
      <c r="Z106">
        <f>AVERAGE(U87:U106)</f>
        <v/>
      </c>
      <c r="AA106">
        <f>0.5*V106+0.5*X106</f>
        <v/>
      </c>
      <c r="AB106">
        <f>Settings!$B$3+Settings!$B$4*W106</f>
        <v/>
      </c>
      <c r="AC106">
        <f>Z106</f>
        <v/>
      </c>
      <c r="AD106">
        <f>0.5*V106+0.5*Z106</f>
        <v/>
      </c>
      <c r="AE106">
        <f>(X106+Y106+V106)/3</f>
        <v/>
      </c>
      <c r="AF106">
        <f>0.7*X106+0.3*V106</f>
        <v/>
      </c>
    </row>
    <row r="107">
      <c r="A107" t="inlineStr">
        <is>
          <t>2011-04-01</t>
        </is>
      </c>
      <c r="B107" t="n">
        <v>750013.2118202305</v>
      </c>
      <c r="C107" t="n">
        <v>412507.4057522041</v>
      </c>
      <c r="D107" t="n">
        <v>63.29814375708803</v>
      </c>
      <c r="E107" t="n">
        <v>0.1406300643876822</v>
      </c>
      <c r="F107" t="n">
        <v>0.3596911986735206</v>
      </c>
      <c r="G107" t="n">
        <v>2.128847552408087</v>
      </c>
      <c r="H107" t="n">
        <v>84.36116499549571</v>
      </c>
      <c r="I107" t="n">
        <v>1352.784610111764</v>
      </c>
      <c r="J107" t="n">
        <v>849.4902272610071</v>
      </c>
      <c r="K107" t="n">
        <v>2.937672153757376</v>
      </c>
      <c r="L107" t="n">
        <v>3.191620558267459</v>
      </c>
      <c r="M107" t="n">
        <v>-0.8492717477540737</v>
      </c>
      <c r="N107" t="n">
        <v>-0.4895879495421696</v>
      </c>
      <c r="O107" t="n">
        <v>-0.4895879495421696</v>
      </c>
      <c r="P107" t="n">
        <v>0.6302180139298518</v>
      </c>
      <c r="Q107" t="n">
        <v>2.618435501950257</v>
      </c>
      <c r="R107" t="n">
        <v>0.8492791482156902</v>
      </c>
      <c r="S107">
        <f>Q107-P107</f>
        <v/>
      </c>
      <c r="T107">
        <f>Q107-Settings!$B$5</f>
        <v/>
      </c>
      <c r="U107">
        <f>0.5*(P107+T107)</f>
        <v/>
      </c>
      <c r="V107">
        <f>AVERAGE(K88:K107)</f>
        <v/>
      </c>
      <c r="W107">
        <f>AVERAGE(L88:L107)</f>
        <v/>
      </c>
      <c r="X107">
        <f>AVERAGE(P88:P107)</f>
        <v/>
      </c>
      <c r="Y107">
        <f>AVERAGE(T88:T107)</f>
        <v/>
      </c>
      <c r="Z107">
        <f>AVERAGE(U88:U107)</f>
        <v/>
      </c>
      <c r="AA107">
        <f>0.5*V107+0.5*X107</f>
        <v/>
      </c>
      <c r="AB107">
        <f>Settings!$B$3+Settings!$B$4*W107</f>
        <v/>
      </c>
      <c r="AC107">
        <f>Z107</f>
        <v/>
      </c>
      <c r="AD107">
        <f>0.5*V107+0.5*Z107</f>
        <v/>
      </c>
      <c r="AE107">
        <f>(X107+Y107+V107)/3</f>
        <v/>
      </c>
      <c r="AF107">
        <f>0.7*X107+0.3*V107</f>
        <v/>
      </c>
    </row>
    <row r="108">
      <c r="A108" t="inlineStr">
        <is>
          <t>2011-07-01</t>
        </is>
      </c>
      <c r="B108" t="n">
        <v>753669.2315109738</v>
      </c>
      <c r="C108" t="n">
        <v>413323.4068136002</v>
      </c>
      <c r="D108" t="n">
        <v>63.29473984811365</v>
      </c>
      <c r="E108" t="n">
        <v>0.1120829859910419</v>
      </c>
      <c r="F108" t="n">
        <v>0.3342834130801719</v>
      </c>
      <c r="G108" t="n">
        <v>1.895111006349004</v>
      </c>
      <c r="H108" t="n">
        <v>84.32019555501718</v>
      </c>
      <c r="I108" t="n">
        <v>1353.270886574097</v>
      </c>
      <c r="J108" t="n">
        <v>849.7364228859947</v>
      </c>
      <c r="K108" t="n">
        <v>1.945105849330503</v>
      </c>
      <c r="L108" t="n">
        <v>0.9847824999501427</v>
      </c>
      <c r="M108" t="n">
        <v>-0.02151090252937138</v>
      </c>
      <c r="N108" t="n">
        <v>-0.3419248797377463</v>
      </c>
      <c r="O108" t="n">
        <v>-0.3419248797377463</v>
      </c>
      <c r="P108" t="n">
        <v>0.4540078657287882</v>
      </c>
      <c r="Q108" t="n">
        <v>2.23703588608675</v>
      </c>
      <c r="R108" t="n">
        <v>0.6762082928179183</v>
      </c>
      <c r="S108">
        <f>Q108-P108</f>
        <v/>
      </c>
      <c r="T108">
        <f>Q108-Settings!$B$5</f>
        <v/>
      </c>
      <c r="U108">
        <f>0.5*(P108+T108)</f>
        <v/>
      </c>
      <c r="V108">
        <f>AVERAGE(K89:K108)</f>
        <v/>
      </c>
      <c r="W108">
        <f>AVERAGE(L89:L108)</f>
        <v/>
      </c>
      <c r="X108">
        <f>AVERAGE(P89:P108)</f>
        <v/>
      </c>
      <c r="Y108">
        <f>AVERAGE(T89:T108)</f>
        <v/>
      </c>
      <c r="Z108">
        <f>AVERAGE(U89:U108)</f>
        <v/>
      </c>
      <c r="AA108">
        <f>0.5*V108+0.5*X108</f>
        <v/>
      </c>
      <c r="AB108">
        <f>Settings!$B$3+Settings!$B$4*W108</f>
        <v/>
      </c>
      <c r="AC108">
        <f>Z108</f>
        <v/>
      </c>
      <c r="AD108">
        <f>0.5*V108+0.5*Z108</f>
        <v/>
      </c>
      <c r="AE108">
        <f>(X108+Y108+V108)/3</f>
        <v/>
      </c>
      <c r="AF108">
        <f>0.7*X108+0.3*V108</f>
        <v/>
      </c>
    </row>
    <row r="109">
      <c r="A109" t="inlineStr">
        <is>
          <t>2011-10-01</t>
        </is>
      </c>
      <c r="B109" t="n">
        <v>758443.9517983127</v>
      </c>
      <c r="C109" t="n">
        <v>417672.6028570202</v>
      </c>
      <c r="D109" t="n">
        <v>63.2185946103137</v>
      </c>
      <c r="E109" t="n">
        <v>0.0112518970178935</v>
      </c>
      <c r="F109" t="n">
        <v>0.2303590855190599</v>
      </c>
      <c r="G109" t="n">
        <v>1.852631128736915</v>
      </c>
      <c r="H109" t="n">
        <v>84.32542528133617</v>
      </c>
      <c r="I109" t="n">
        <v>1353.902418156428</v>
      </c>
      <c r="J109" t="n">
        <v>850.7769733560307</v>
      </c>
      <c r="K109" t="n">
        <v>2.526126329324143</v>
      </c>
      <c r="L109" t="n">
        <v>4.162201880144039</v>
      </c>
      <c r="M109" t="n">
        <v>-0.4815002138425371</v>
      </c>
      <c r="N109" t="n">
        <v>-0.4229022148331865</v>
      </c>
      <c r="O109" t="n">
        <v>-0.4229022148331865</v>
      </c>
      <c r="P109" t="n">
        <v>0.4341541118510799</v>
      </c>
      <c r="Q109" t="n">
        <v>2.275533343570102</v>
      </c>
      <c r="R109" t="n">
        <v>0.6532613003522464</v>
      </c>
      <c r="S109">
        <f>Q109-P109</f>
        <v/>
      </c>
      <c r="T109">
        <f>Q109-Settings!$B$5</f>
        <v/>
      </c>
      <c r="U109">
        <f>0.5*(P109+T109)</f>
        <v/>
      </c>
      <c r="V109">
        <f>AVERAGE(K90:K109)</f>
        <v/>
      </c>
      <c r="W109">
        <f>AVERAGE(L90:L109)</f>
        <v/>
      </c>
      <c r="X109">
        <f>AVERAGE(P90:P109)</f>
        <v/>
      </c>
      <c r="Y109">
        <f>AVERAGE(T90:T109)</f>
        <v/>
      </c>
      <c r="Z109">
        <f>AVERAGE(U90:U109)</f>
        <v/>
      </c>
      <c r="AA109">
        <f>0.5*V109+0.5*X109</f>
        <v/>
      </c>
      <c r="AB109">
        <f>Settings!$B$3+Settings!$B$4*W109</f>
        <v/>
      </c>
      <c r="AC109">
        <f>Z109</f>
        <v/>
      </c>
      <c r="AD109">
        <f>0.5*V109+0.5*Z109</f>
        <v/>
      </c>
      <c r="AE109">
        <f>(X109+Y109+V109)/3</f>
        <v/>
      </c>
      <c r="AF109">
        <f>0.7*X109+0.3*V109</f>
        <v/>
      </c>
    </row>
    <row r="110">
      <c r="A110" t="inlineStr">
        <is>
          <t>2012-01-01</t>
        </is>
      </c>
      <c r="B110" t="n">
        <v>765571.3254162479</v>
      </c>
      <c r="C110" t="n">
        <v>420900.4052305104</v>
      </c>
      <c r="D110" t="n">
        <v>63.28814641688002</v>
      </c>
      <c r="E110" t="n">
        <v>0.1257705201450405</v>
      </c>
      <c r="F110" t="n">
        <v>0.3359942623851037</v>
      </c>
      <c r="G110" t="n">
        <v>1.902543587152617</v>
      </c>
      <c r="H110" t="n">
        <v>84.33974661264578</v>
      </c>
      <c r="I110" t="n">
        <v>1354.837766467894</v>
      </c>
      <c r="J110" t="n">
        <v>851.52982735714</v>
      </c>
      <c r="K110" t="n">
        <v>3.741393245863947</v>
      </c>
      <c r="L110" t="n">
        <v>3.011416004437251</v>
      </c>
      <c r="M110" t="n">
        <v>0.4398299284875975</v>
      </c>
      <c r="N110" t="n">
        <v>-0.2281132339095961</v>
      </c>
      <c r="O110" t="n">
        <v>-0.2281132339095961</v>
      </c>
      <c r="P110" t="n">
        <v>0.3538837540546367</v>
      </c>
      <c r="Q110" t="n">
        <v>2.130656821062213</v>
      </c>
      <c r="R110" t="n">
        <v>0.5641074962946999</v>
      </c>
      <c r="S110">
        <f>Q110-P110</f>
        <v/>
      </c>
      <c r="T110">
        <f>Q110-Settings!$B$5</f>
        <v/>
      </c>
      <c r="U110">
        <f>0.5*(P110+T110)</f>
        <v/>
      </c>
      <c r="V110">
        <f>AVERAGE(K91:K110)</f>
        <v/>
      </c>
      <c r="W110">
        <f>AVERAGE(L91:L110)</f>
        <v/>
      </c>
      <c r="X110">
        <f>AVERAGE(P91:P110)</f>
        <v/>
      </c>
      <c r="Y110">
        <f>AVERAGE(T91:T110)</f>
        <v/>
      </c>
      <c r="Z110">
        <f>AVERAGE(U91:U110)</f>
        <v/>
      </c>
      <c r="AA110">
        <f>0.5*V110+0.5*X110</f>
        <v/>
      </c>
      <c r="AB110">
        <f>Settings!$B$3+Settings!$B$4*W110</f>
        <v/>
      </c>
      <c r="AC110">
        <f>Z110</f>
        <v/>
      </c>
      <c r="AD110">
        <f>0.5*V110+0.5*Z110</f>
        <v/>
      </c>
      <c r="AE110">
        <f>(X110+Y110+V110)/3</f>
        <v/>
      </c>
      <c r="AF110">
        <f>0.7*X110+0.3*V110</f>
        <v/>
      </c>
    </row>
    <row r="111">
      <c r="A111" t="inlineStr">
        <is>
          <t>2012-04-01</t>
        </is>
      </c>
      <c r="B111" t="n">
        <v>766374.9982663012</v>
      </c>
      <c r="C111" t="n">
        <v>425050.1985992945</v>
      </c>
      <c r="D111" t="n">
        <v>63.33231705789909</v>
      </c>
      <c r="E111" t="n">
        <v>0.07112305563221739</v>
      </c>
      <c r="F111" t="n">
        <v>0.217614721740792</v>
      </c>
      <c r="G111" t="n">
        <v>1.878694384427901</v>
      </c>
      <c r="H111" t="n">
        <v>84.28401819715133</v>
      </c>
      <c r="I111" t="n">
        <v>1354.942688280278</v>
      </c>
      <c r="J111" t="n">
        <v>852.577029072555</v>
      </c>
      <c r="K111" t="n">
        <v>0.4196872495367643</v>
      </c>
      <c r="L111" t="n">
        <v>4.188806861659941</v>
      </c>
      <c r="M111" t="n">
        <v>0.2790742766133008</v>
      </c>
      <c r="N111" t="n">
        <v>0.05397327218224746</v>
      </c>
      <c r="O111" t="n">
        <v>0.05397327218224746</v>
      </c>
      <c r="P111" t="n">
        <v>0.01714978344996994</v>
      </c>
      <c r="Q111" t="n">
        <v>1.824721112245653</v>
      </c>
      <c r="R111" t="n">
        <v>0.1636414495585445</v>
      </c>
      <c r="S111">
        <f>Q111-P111</f>
        <v/>
      </c>
      <c r="T111">
        <f>Q111-Settings!$B$5</f>
        <v/>
      </c>
      <c r="U111">
        <f>0.5*(P111+T111)</f>
        <v/>
      </c>
      <c r="V111">
        <f>AVERAGE(K92:K111)</f>
        <v/>
      </c>
      <c r="W111">
        <f>AVERAGE(L92:L111)</f>
        <v/>
      </c>
      <c r="X111">
        <f>AVERAGE(P92:P111)</f>
        <v/>
      </c>
      <c r="Y111">
        <f>AVERAGE(T92:T111)</f>
        <v/>
      </c>
      <c r="Z111">
        <f>AVERAGE(U92:U111)</f>
        <v/>
      </c>
      <c r="AA111">
        <f>0.5*V111+0.5*X111</f>
        <v/>
      </c>
      <c r="AB111">
        <f>Settings!$B$3+Settings!$B$4*W111</f>
        <v/>
      </c>
      <c r="AC111">
        <f>Z111</f>
        <v/>
      </c>
      <c r="AD111">
        <f>0.5*V111+0.5*Z111</f>
        <v/>
      </c>
      <c r="AE111">
        <f>(X111+Y111+V111)/3</f>
        <v/>
      </c>
      <c r="AF111">
        <f>0.7*X111+0.3*V111</f>
        <v/>
      </c>
    </row>
    <row r="112">
      <c r="A112" t="inlineStr">
        <is>
          <t>2012-07-01</t>
        </is>
      </c>
      <c r="B112" t="n">
        <v>771645.2977678287</v>
      </c>
      <c r="C112" t="n">
        <v>427084.2943688309</v>
      </c>
      <c r="D112" t="n">
        <v>63.39626984448885</v>
      </c>
      <c r="E112" t="n">
        <v>0.1637223608470619</v>
      </c>
      <c r="F112" t="n">
        <v>0.3662309931693787</v>
      </c>
      <c r="G112" t="n">
        <v>1.964324028890669</v>
      </c>
      <c r="H112" t="n">
        <v>84.21719725316795</v>
      </c>
      <c r="I112" t="n">
        <v>1355.628026457339</v>
      </c>
      <c r="J112" t="n">
        <v>853.13375401224</v>
      </c>
      <c r="K112" t="n">
        <v>2.741352708244449</v>
      </c>
      <c r="L112" t="n">
        <v>2.226899758740274</v>
      </c>
      <c r="M112" t="n">
        <v>0.4037150169936012</v>
      </c>
      <c r="N112" t="n">
        <v>0.1602797520629906</v>
      </c>
      <c r="O112" t="n">
        <v>0.1602797520629906</v>
      </c>
      <c r="P112" t="n">
        <v>0.003442608784071294</v>
      </c>
      <c r="Q112" t="n">
        <v>1.804044276827678</v>
      </c>
      <c r="R112" t="n">
        <v>0.2059512411063881</v>
      </c>
      <c r="S112">
        <f>Q112-P112</f>
        <v/>
      </c>
      <c r="T112">
        <f>Q112-Settings!$B$5</f>
        <v/>
      </c>
      <c r="U112">
        <f>0.5*(P112+T112)</f>
        <v/>
      </c>
      <c r="V112">
        <f>AVERAGE(K93:K112)</f>
        <v/>
      </c>
      <c r="W112">
        <f>AVERAGE(L93:L112)</f>
        <v/>
      </c>
      <c r="X112">
        <f>AVERAGE(P93:P112)</f>
        <v/>
      </c>
      <c r="Y112">
        <f>AVERAGE(T93:T112)</f>
        <v/>
      </c>
      <c r="Z112">
        <f>AVERAGE(U93:U112)</f>
        <v/>
      </c>
      <c r="AA112">
        <f>0.5*V112+0.5*X112</f>
        <v/>
      </c>
      <c r="AB112">
        <f>Settings!$B$3+Settings!$B$4*W112</f>
        <v/>
      </c>
      <c r="AC112">
        <f>Z112</f>
        <v/>
      </c>
      <c r="AD112">
        <f>0.5*V112+0.5*Z112</f>
        <v/>
      </c>
      <c r="AE112">
        <f>(X112+Y112+V112)/3</f>
        <v/>
      </c>
      <c r="AF112">
        <f>0.7*X112+0.3*V112</f>
        <v/>
      </c>
    </row>
    <row r="113">
      <c r="A113" t="inlineStr">
        <is>
          <t>2012-10-01</t>
        </is>
      </c>
      <c r="B113" t="n">
        <v>775922.3540766865</v>
      </c>
      <c r="C113" t="n">
        <v>427416.4546042713</v>
      </c>
      <c r="D113" t="n">
        <v>63.51181440929001</v>
      </c>
      <c r="E113" t="n">
        <v>0.068620623178154</v>
      </c>
      <c r="F113" t="n">
        <v>0.2519348644126803</v>
      </c>
      <c r="G113" t="n">
        <v>1.91345302977547</v>
      </c>
      <c r="H113" t="n">
        <v>84.28631464778245</v>
      </c>
      <c r="I113" t="n">
        <v>1356.180773497957</v>
      </c>
      <c r="J113" t="n">
        <v>853.1294609675305</v>
      </c>
      <c r="K113" t="n">
        <v>2.210988162472859</v>
      </c>
      <c r="L113" t="n">
        <v>-0.01717217883833655</v>
      </c>
      <c r="M113" t="n">
        <v>0.728367132208632</v>
      </c>
      <c r="N113" t="n">
        <v>0.4627465885757829</v>
      </c>
      <c r="O113" t="n">
        <v>0.4627465885757829</v>
      </c>
      <c r="P113" t="n">
        <v>-0.3941259653976289</v>
      </c>
      <c r="Q113" t="n">
        <v>1.450706441199688</v>
      </c>
      <c r="R113" t="n">
        <v>-0.2108117241631026</v>
      </c>
      <c r="S113">
        <f>Q113-P113</f>
        <v/>
      </c>
      <c r="T113">
        <f>Q113-Settings!$B$5</f>
        <v/>
      </c>
      <c r="U113">
        <f>0.5*(P113+T113)</f>
        <v/>
      </c>
      <c r="V113">
        <f>AVERAGE(K94:K113)</f>
        <v/>
      </c>
      <c r="W113">
        <f>AVERAGE(L94:L113)</f>
        <v/>
      </c>
      <c r="X113">
        <f>AVERAGE(P94:P113)</f>
        <v/>
      </c>
      <c r="Y113">
        <f>AVERAGE(T94:T113)</f>
        <v/>
      </c>
      <c r="Z113">
        <f>AVERAGE(U94:U113)</f>
        <v/>
      </c>
      <c r="AA113">
        <f>0.5*V113+0.5*X113</f>
        <v/>
      </c>
      <c r="AB113">
        <f>Settings!$B$3+Settings!$B$4*W113</f>
        <v/>
      </c>
      <c r="AC113">
        <f>Z113</f>
        <v/>
      </c>
      <c r="AD113">
        <f>0.5*V113+0.5*Z113</f>
        <v/>
      </c>
      <c r="AE113">
        <f>(X113+Y113+V113)/3</f>
        <v/>
      </c>
      <c r="AF113">
        <f>0.7*X113+0.3*V113</f>
        <v/>
      </c>
    </row>
    <row r="114">
      <c r="A114" t="inlineStr">
        <is>
          <t>2013-01-01</t>
        </is>
      </c>
      <c r="B114" t="n">
        <v>777684.3124231178</v>
      </c>
      <c r="C114" t="n">
        <v>426422.8434110045</v>
      </c>
      <c r="D114" t="n">
        <v>63.59812628768938</v>
      </c>
      <c r="E114" t="n">
        <v>0.0681692358448882</v>
      </c>
      <c r="F114" t="n">
        <v>0.2297740071156876</v>
      </c>
      <c r="G114" t="n">
        <v>1.984699989399606</v>
      </c>
      <c r="H114" t="n">
        <v>84.27895927514909</v>
      </c>
      <c r="I114" t="n">
        <v>1356.40759527207</v>
      </c>
      <c r="J114" t="n">
        <v>852.9054482686712</v>
      </c>
      <c r="K114" t="n">
        <v>0.9072870964510003</v>
      </c>
      <c r="L114" t="n">
        <v>-0.8960507954370769</v>
      </c>
      <c r="M114" t="n">
        <v>0.543226697719092</v>
      </c>
      <c r="N114" t="n">
        <v>0.4885957808836565</v>
      </c>
      <c r="O114" t="n">
        <v>0.4885957808836565</v>
      </c>
      <c r="P114" t="n">
        <v>-0.4204265450387683</v>
      </c>
      <c r="Q114" t="n">
        <v>1.496104208515949</v>
      </c>
      <c r="R114" t="n">
        <v>-0.2588217737679689</v>
      </c>
      <c r="S114">
        <f>Q114-P114</f>
        <v/>
      </c>
      <c r="T114">
        <f>Q114-Settings!$B$5</f>
        <v/>
      </c>
      <c r="U114">
        <f>0.5*(P114+T114)</f>
        <v/>
      </c>
      <c r="V114">
        <f>AVERAGE(K95:K114)</f>
        <v/>
      </c>
      <c r="W114">
        <f>AVERAGE(L95:L114)</f>
        <v/>
      </c>
      <c r="X114">
        <f>AVERAGE(P95:P114)</f>
        <v/>
      </c>
      <c r="Y114">
        <f>AVERAGE(T95:T114)</f>
        <v/>
      </c>
      <c r="Z114">
        <f>AVERAGE(U95:U114)</f>
        <v/>
      </c>
      <c r="AA114">
        <f>0.5*V114+0.5*X114</f>
        <v/>
      </c>
      <c r="AB114">
        <f>Settings!$B$3+Settings!$B$4*W114</f>
        <v/>
      </c>
      <c r="AC114">
        <f>Z114</f>
        <v/>
      </c>
      <c r="AD114">
        <f>0.5*V114+0.5*Z114</f>
        <v/>
      </c>
      <c r="AE114">
        <f>(X114+Y114+V114)/3</f>
        <v/>
      </c>
      <c r="AF114">
        <f>0.7*X114+0.3*V114</f>
        <v/>
      </c>
    </row>
    <row r="115">
      <c r="A115" t="inlineStr">
        <is>
          <t>2013-04-01</t>
        </is>
      </c>
      <c r="B115" t="n">
        <v>776867.597339461</v>
      </c>
      <c r="C115" t="n">
        <v>425380.1700342211</v>
      </c>
      <c r="D115" t="n">
        <v>63.70929724435145</v>
      </c>
      <c r="E115" t="n">
        <v>0.1270565805402266</v>
      </c>
      <c r="F115" t="n">
        <v>0.3775110791192513</v>
      </c>
      <c r="G115" t="n">
        <v>2.09179598030056</v>
      </c>
      <c r="H115" t="n">
        <v>84.19972783276614</v>
      </c>
      <c r="I115" t="n">
        <v>1356.302521243513</v>
      </c>
      <c r="J115" t="n">
        <v>852.7546876938471</v>
      </c>
      <c r="K115" t="n">
        <v>-0.4202961142291315</v>
      </c>
      <c r="L115" t="n">
        <v>-0.6030422992962485</v>
      </c>
      <c r="M115" t="n">
        <v>0.6985986006845906</v>
      </c>
      <c r="N115" t="n">
        <v>0.593476861901479</v>
      </c>
      <c r="O115" t="n">
        <v>0.593476861901479</v>
      </c>
      <c r="P115" t="n">
        <v>-0.4664202813612524</v>
      </c>
      <c r="Q115" t="n">
        <v>1.498319118399081</v>
      </c>
      <c r="R115" t="n">
        <v>-0.2159657827822277</v>
      </c>
      <c r="S115">
        <f>Q115-P115</f>
        <v/>
      </c>
      <c r="T115">
        <f>Q115-Settings!$B$5</f>
        <v/>
      </c>
      <c r="U115">
        <f>0.5*(P115+T115)</f>
        <v/>
      </c>
      <c r="V115">
        <f>AVERAGE(K96:K115)</f>
        <v/>
      </c>
      <c r="W115">
        <f>AVERAGE(L96:L115)</f>
        <v/>
      </c>
      <c r="X115">
        <f>AVERAGE(P96:P115)</f>
        <v/>
      </c>
      <c r="Y115">
        <f>AVERAGE(T96:T115)</f>
        <v/>
      </c>
      <c r="Z115">
        <f>AVERAGE(U96:U115)</f>
        <v/>
      </c>
      <c r="AA115">
        <f>0.5*V115+0.5*X115</f>
        <v/>
      </c>
      <c r="AB115">
        <f>Settings!$B$3+Settings!$B$4*W115</f>
        <v/>
      </c>
      <c r="AC115">
        <f>Z115</f>
        <v/>
      </c>
      <c r="AD115">
        <f>0.5*V115+0.5*Z115</f>
        <v/>
      </c>
      <c r="AE115">
        <f>(X115+Y115+V115)/3</f>
        <v/>
      </c>
      <c r="AF115">
        <f>0.7*X115+0.3*V115</f>
        <v/>
      </c>
    </row>
    <row r="116">
      <c r="A116" t="inlineStr">
        <is>
          <t>2013-07-01</t>
        </is>
      </c>
      <c r="B116" t="n">
        <v>779021.7711496103</v>
      </c>
      <c r="C116" t="n">
        <v>430508.2829985464</v>
      </c>
      <c r="D116" t="n">
        <v>63.82225454953086</v>
      </c>
      <c r="E116" t="n">
        <v>0.1381463241168468</v>
      </c>
      <c r="F116" t="n">
        <v>0.3900161843434179</v>
      </c>
      <c r="G116" t="n">
        <v>1.969108332307764</v>
      </c>
      <c r="H116" t="n">
        <v>84.19868317556721</v>
      </c>
      <c r="I116" t="n">
        <v>1356.579427202284</v>
      </c>
      <c r="J116" t="n">
        <v>853.9542561198627</v>
      </c>
      <c r="K116" t="n">
        <v>1.10762383508245</v>
      </c>
      <c r="L116" t="n">
        <v>4.798273704062467</v>
      </c>
      <c r="M116" t="n">
        <v>0.7085765561787412</v>
      </c>
      <c r="N116" t="n">
        <v>0.6696922466977639</v>
      </c>
      <c r="O116" t="n">
        <v>0.6696922466977639</v>
      </c>
      <c r="P116" t="n">
        <v>-0.5315459225809172</v>
      </c>
      <c r="Q116" t="n">
        <v>1.29941608561</v>
      </c>
      <c r="R116" t="n">
        <v>-0.2796760623543461</v>
      </c>
      <c r="S116">
        <f>Q116-P116</f>
        <v/>
      </c>
      <c r="T116">
        <f>Q116-Settings!$B$5</f>
        <v/>
      </c>
      <c r="U116">
        <f>0.5*(P116+T116)</f>
        <v/>
      </c>
      <c r="V116">
        <f>AVERAGE(K97:K116)</f>
        <v/>
      </c>
      <c r="W116">
        <f>AVERAGE(L97:L116)</f>
        <v/>
      </c>
      <c r="X116">
        <f>AVERAGE(P97:P116)</f>
        <v/>
      </c>
      <c r="Y116">
        <f>AVERAGE(T97:T116)</f>
        <v/>
      </c>
      <c r="Z116">
        <f>AVERAGE(U97:U116)</f>
        <v/>
      </c>
      <c r="AA116">
        <f>0.5*V116+0.5*X116</f>
        <v/>
      </c>
      <c r="AB116">
        <f>Settings!$B$3+Settings!$B$4*W116</f>
        <v/>
      </c>
      <c r="AC116">
        <f>Z116</f>
        <v/>
      </c>
      <c r="AD116">
        <f>0.5*V116+0.5*Z116</f>
        <v/>
      </c>
      <c r="AE116">
        <f>(X116+Y116+V116)/3</f>
        <v/>
      </c>
      <c r="AF116">
        <f>0.7*X116+0.3*V116</f>
        <v/>
      </c>
    </row>
    <row r="117">
      <c r="A117" t="inlineStr">
        <is>
          <t>2013-10-01</t>
        </is>
      </c>
      <c r="B117" t="n">
        <v>779243.7717231091</v>
      </c>
      <c r="C117" t="n">
        <v>429034.7517703461</v>
      </c>
      <c r="D117" t="n">
        <v>63.98140173008723</v>
      </c>
      <c r="E117" t="n">
        <v>0.1224049681968101</v>
      </c>
      <c r="F117" t="n">
        <v>0.3631815862056785</v>
      </c>
      <c r="G117" t="n">
        <v>1.98135965680037</v>
      </c>
      <c r="H117" t="n">
        <v>84.18709799984069</v>
      </c>
      <c r="I117" t="n">
        <v>1356.607920494202</v>
      </c>
      <c r="J117" t="n">
        <v>853.6251521985381</v>
      </c>
      <c r="K117" t="n">
        <v>0.1139731676748852</v>
      </c>
      <c r="L117" t="n">
        <v>-1.31641568529858</v>
      </c>
      <c r="M117" t="n">
        <v>0.9961984966582804</v>
      </c>
      <c r="N117" t="n">
        <v>0.736650087810176</v>
      </c>
      <c r="O117" t="n">
        <v>0.736650087810176</v>
      </c>
      <c r="P117" t="n">
        <v>-0.6142451196133659</v>
      </c>
      <c r="Q117" t="n">
        <v>1.244709568990194</v>
      </c>
      <c r="R117" t="n">
        <v>-0.3734685016044976</v>
      </c>
      <c r="S117">
        <f>Q117-P117</f>
        <v/>
      </c>
      <c r="T117">
        <f>Q117-Settings!$B$5</f>
        <v/>
      </c>
      <c r="U117">
        <f>0.5*(P117+T117)</f>
        <v/>
      </c>
      <c r="V117">
        <f>AVERAGE(K98:K117)</f>
        <v/>
      </c>
      <c r="W117">
        <f>AVERAGE(L98:L117)</f>
        <v/>
      </c>
      <c r="X117">
        <f>AVERAGE(P98:P117)</f>
        <v/>
      </c>
      <c r="Y117">
        <f>AVERAGE(T98:T117)</f>
        <v/>
      </c>
      <c r="Z117">
        <f>AVERAGE(U98:U117)</f>
        <v/>
      </c>
      <c r="AA117">
        <f>0.5*V117+0.5*X117</f>
        <v/>
      </c>
      <c r="AB117">
        <f>Settings!$B$3+Settings!$B$4*W117</f>
        <v/>
      </c>
      <c r="AC117">
        <f>Z117</f>
        <v/>
      </c>
      <c r="AD117">
        <f>0.5*V117+0.5*Z117</f>
        <v/>
      </c>
      <c r="AE117">
        <f>(X117+Y117+V117)/3</f>
        <v/>
      </c>
      <c r="AF117">
        <f>0.7*X117+0.3*V117</f>
        <v/>
      </c>
    </row>
    <row r="118">
      <c r="A118" t="inlineStr">
        <is>
          <t>2014-01-01</t>
        </is>
      </c>
      <c r="B118" t="n">
        <v>780782.4193216803</v>
      </c>
      <c r="C118" t="n">
        <v>430255.8756950697</v>
      </c>
      <c r="D118" t="n">
        <v>64.06097431941797</v>
      </c>
      <c r="E118" t="n">
        <v>0.0157201341307595</v>
      </c>
      <c r="F118" t="n">
        <v>0.2233765366364358</v>
      </c>
      <c r="G118" t="n">
        <v>1.700633683212203</v>
      </c>
      <c r="H118" t="n">
        <v>84.15650496582022</v>
      </c>
      <c r="I118" t="n">
        <v>1356.805179758992</v>
      </c>
      <c r="J118" t="n">
        <v>853.9457150768752</v>
      </c>
      <c r="K118" t="n">
        <v>0.7890370591603642</v>
      </c>
      <c r="L118" t="n">
        <v>1.282251513348456</v>
      </c>
      <c r="M118" t="n">
        <v>0.4971641547410854</v>
      </c>
      <c r="N118" t="n">
        <v>0.7251344520656744</v>
      </c>
      <c r="O118" t="n">
        <v>0.7251344520656744</v>
      </c>
      <c r="P118" t="n">
        <v>-0.7094143179349149</v>
      </c>
      <c r="Q118" t="n">
        <v>0.9754992311465285</v>
      </c>
      <c r="R118" t="n">
        <v>-0.5017579154292386</v>
      </c>
      <c r="S118">
        <f>Q118-P118</f>
        <v/>
      </c>
      <c r="T118">
        <f>Q118-Settings!$B$5</f>
        <v/>
      </c>
      <c r="U118">
        <f>0.5*(P118+T118)</f>
        <v/>
      </c>
      <c r="V118">
        <f>AVERAGE(K99:K118)</f>
        <v/>
      </c>
      <c r="W118">
        <f>AVERAGE(L99:L118)</f>
        <v/>
      </c>
      <c r="X118">
        <f>AVERAGE(P99:P118)</f>
        <v/>
      </c>
      <c r="Y118">
        <f>AVERAGE(T99:T118)</f>
        <v/>
      </c>
      <c r="Z118">
        <f>AVERAGE(U99:U118)</f>
        <v/>
      </c>
      <c r="AA118">
        <f>0.5*V118+0.5*X118</f>
        <v/>
      </c>
      <c r="AB118">
        <f>Settings!$B$3+Settings!$B$4*W118</f>
        <v/>
      </c>
      <c r="AC118">
        <f>Z118</f>
        <v/>
      </c>
      <c r="AD118">
        <f>0.5*V118+0.5*Z118</f>
        <v/>
      </c>
      <c r="AE118">
        <f>(X118+Y118+V118)/3</f>
        <v/>
      </c>
      <c r="AF118">
        <f>0.7*X118+0.3*V118</f>
        <v/>
      </c>
    </row>
    <row r="119">
      <c r="A119" t="inlineStr">
        <is>
          <t>2014-04-01</t>
        </is>
      </c>
      <c r="B119" t="n">
        <v>781441.3031082115</v>
      </c>
      <c r="C119" t="n">
        <v>426803.9158749878</v>
      </c>
      <c r="D119" t="n">
        <v>64.08611399942595</v>
      </c>
      <c r="E119" t="n">
        <v>0.1269017219964125</v>
      </c>
      <c r="F119" t="n">
        <v>0.3674204756249922</v>
      </c>
      <c r="G119" t="n">
        <v>1.91811404775485</v>
      </c>
      <c r="H119" t="n">
        <v>84.10570495885564</v>
      </c>
      <c r="I119" t="n">
        <v>1356.889531803599</v>
      </c>
      <c r="J119" t="n">
        <v>853.2005573233887</v>
      </c>
      <c r="K119" t="n">
        <v>0.3374081784259033</v>
      </c>
      <c r="L119" t="n">
        <v>-2.980631013946095</v>
      </c>
      <c r="M119" t="n">
        <v>0.1569426549460786</v>
      </c>
      <c r="N119" t="n">
        <v>0.5897204656310464</v>
      </c>
      <c r="O119" t="n">
        <v>0.5897204656310464</v>
      </c>
      <c r="P119" t="n">
        <v>-0.4628187436346339</v>
      </c>
      <c r="Q119" t="n">
        <v>1.328393582123804</v>
      </c>
      <c r="R119" t="n">
        <v>-0.2222999900060542</v>
      </c>
      <c r="S119">
        <f>Q119-P119</f>
        <v/>
      </c>
      <c r="T119">
        <f>Q119-Settings!$B$5</f>
        <v/>
      </c>
      <c r="U119">
        <f>0.5*(P119+T119)</f>
        <v/>
      </c>
      <c r="V119">
        <f>AVERAGE(K100:K119)</f>
        <v/>
      </c>
      <c r="W119">
        <f>AVERAGE(L100:L119)</f>
        <v/>
      </c>
      <c r="X119">
        <f>AVERAGE(P100:P119)</f>
        <v/>
      </c>
      <c r="Y119">
        <f>AVERAGE(T100:T119)</f>
        <v/>
      </c>
      <c r="Z119">
        <f>AVERAGE(U100:U119)</f>
        <v/>
      </c>
      <c r="AA119">
        <f>0.5*V119+0.5*X119</f>
        <v/>
      </c>
      <c r="AB119">
        <f>Settings!$B$3+Settings!$B$4*W119</f>
        <v/>
      </c>
      <c r="AC119">
        <f>Z119</f>
        <v/>
      </c>
      <c r="AD119">
        <f>0.5*V119+0.5*Z119</f>
        <v/>
      </c>
      <c r="AE119">
        <f>(X119+Y119+V119)/3</f>
        <v/>
      </c>
      <c r="AF119">
        <f>0.7*X119+0.3*V119</f>
        <v/>
      </c>
    </row>
    <row r="120">
      <c r="A120" t="inlineStr">
        <is>
          <t>2014-07-01</t>
        </is>
      </c>
      <c r="B120" t="n">
        <v>785520.7745012454</v>
      </c>
      <c r="C120" t="n">
        <v>433642.1513847585</v>
      </c>
      <c r="D120" t="n">
        <v>64.23370847282935</v>
      </c>
      <c r="E120" t="n">
        <v>0.04828459741628</v>
      </c>
      <c r="F120" t="n">
        <v>0.2486461928343348</v>
      </c>
      <c r="G120" t="n">
        <v>1.942313543904639</v>
      </c>
      <c r="H120" t="n">
        <v>84.07991735235375</v>
      </c>
      <c r="I120" t="n">
        <v>1357.410218381535</v>
      </c>
      <c r="J120" t="n">
        <v>854.8207193382142</v>
      </c>
      <c r="K120" t="n">
        <v>2.082746311742994</v>
      </c>
      <c r="L120" t="n">
        <v>6.480648059301984</v>
      </c>
      <c r="M120" t="n">
        <v>0.9201667249717502</v>
      </c>
      <c r="N120" t="n">
        <v>0.6426180078292987</v>
      </c>
      <c r="O120" t="n">
        <v>0.6426180078292987</v>
      </c>
      <c r="P120" t="n">
        <v>-0.5943334104130187</v>
      </c>
      <c r="Q120" t="n">
        <v>1.29969553607534</v>
      </c>
      <c r="R120" t="n">
        <v>-0.3939718149949639</v>
      </c>
      <c r="S120">
        <f>Q120-P120</f>
        <v/>
      </c>
      <c r="T120">
        <f>Q120-Settings!$B$5</f>
        <v/>
      </c>
      <c r="U120">
        <f>0.5*(P120+T120)</f>
        <v/>
      </c>
      <c r="V120">
        <f>AVERAGE(K101:K120)</f>
        <v/>
      </c>
      <c r="W120">
        <f>AVERAGE(L101:L120)</f>
        <v/>
      </c>
      <c r="X120">
        <f>AVERAGE(P101:P120)</f>
        <v/>
      </c>
      <c r="Y120">
        <f>AVERAGE(T101:T120)</f>
        <v/>
      </c>
      <c r="Z120">
        <f>AVERAGE(U101:U120)</f>
        <v/>
      </c>
      <c r="AA120">
        <f>0.5*V120+0.5*X120</f>
        <v/>
      </c>
      <c r="AB120">
        <f>Settings!$B$3+Settings!$B$4*W120</f>
        <v/>
      </c>
      <c r="AC120">
        <f>Z120</f>
        <v/>
      </c>
      <c r="AD120">
        <f>0.5*V120+0.5*Z120</f>
        <v/>
      </c>
      <c r="AE120">
        <f>(X120+Y120+V120)/3</f>
        <v/>
      </c>
      <c r="AF120">
        <f>0.7*X120+0.3*V120</f>
        <v/>
      </c>
    </row>
    <row r="121">
      <c r="A121" t="inlineStr">
        <is>
          <t>2014-10-01</t>
        </is>
      </c>
      <c r="B121" t="n">
        <v>785081.4030993229</v>
      </c>
      <c r="C121" t="n">
        <v>432580.3507593221</v>
      </c>
      <c r="D121" t="n">
        <v>64.31413981432777</v>
      </c>
      <c r="E121" t="n">
        <v>0.1117638055794131</v>
      </c>
      <c r="F121" t="n">
        <v>0.3178477238863466</v>
      </c>
      <c r="G121" t="n">
        <v>1.998360669421129</v>
      </c>
      <c r="H121" t="n">
        <v>84.05098302866733</v>
      </c>
      <c r="I121" t="n">
        <v>1357.354268960396</v>
      </c>
      <c r="J121" t="n">
        <v>854.6099814654494</v>
      </c>
      <c r="K121" t="n">
        <v>-0.2237976845563026</v>
      </c>
      <c r="L121" t="n">
        <v>-0.8429514910590115</v>
      </c>
      <c r="M121" t="n">
        <v>0.5005535483705899</v>
      </c>
      <c r="N121" t="n">
        <v>0.518706770757376</v>
      </c>
      <c r="O121" t="n">
        <v>0.518706770757376</v>
      </c>
      <c r="P121" t="n">
        <v>-0.4069429651779629</v>
      </c>
      <c r="Q121" t="n">
        <v>1.479653898663753</v>
      </c>
      <c r="R121" t="n">
        <v>-0.2008590468710295</v>
      </c>
      <c r="S121">
        <f>Q121-P121</f>
        <v/>
      </c>
      <c r="T121">
        <f>Q121-Settings!$B$5</f>
        <v/>
      </c>
      <c r="U121">
        <f>0.5*(P121+T121)</f>
        <v/>
      </c>
      <c r="V121">
        <f>AVERAGE(K102:K121)</f>
        <v/>
      </c>
      <c r="W121">
        <f>AVERAGE(L102:L121)</f>
        <v/>
      </c>
      <c r="X121">
        <f>AVERAGE(P102:P121)</f>
        <v/>
      </c>
      <c r="Y121">
        <f>AVERAGE(T102:T121)</f>
        <v/>
      </c>
      <c r="Z121">
        <f>AVERAGE(U102:U121)</f>
        <v/>
      </c>
      <c r="AA121">
        <f>0.5*V121+0.5*X121</f>
        <v/>
      </c>
      <c r="AB121">
        <f>Settings!$B$3+Settings!$B$4*W121</f>
        <v/>
      </c>
      <c r="AC121">
        <f>Z121</f>
        <v/>
      </c>
      <c r="AD121">
        <f>0.5*V121+0.5*Z121</f>
        <v/>
      </c>
      <c r="AE121">
        <f>(X121+Y121+V121)/3</f>
        <v/>
      </c>
      <c r="AF121">
        <f>0.7*X121+0.3*V121</f>
        <v/>
      </c>
    </row>
    <row r="122">
      <c r="A122" t="inlineStr">
        <is>
          <t>2015-01-01</t>
        </is>
      </c>
      <c r="B122" t="n">
        <v>782719.3555746246</v>
      </c>
      <c r="C122" t="n">
        <v>428587.7435911946</v>
      </c>
      <c r="D122" t="n">
        <v>64.46454967091846</v>
      </c>
      <c r="E122" t="n">
        <v>0.0288132782300469</v>
      </c>
      <c r="F122" t="n">
        <v>0.1960091371161875</v>
      </c>
      <c r="G122" t="n">
        <v>1.849974251509552</v>
      </c>
      <c r="H122" t="n">
        <v>83.94513311627264</v>
      </c>
      <c r="I122" t="n">
        <v>1357.052948872522</v>
      </c>
      <c r="J122" t="n">
        <v>853.8087356989014</v>
      </c>
      <c r="K122" t="n">
        <v>-1.205280351493457</v>
      </c>
      <c r="L122" t="n">
        <v>-3.204983066192199</v>
      </c>
      <c r="M122" t="n">
        <v>0.9343777333733669</v>
      </c>
      <c r="N122" t="n">
        <v>0.6280101654154464</v>
      </c>
      <c r="O122" t="n">
        <v>0.6280101654154464</v>
      </c>
      <c r="P122" t="n">
        <v>-0.5991968871853995</v>
      </c>
      <c r="Q122" t="n">
        <v>1.221964086094106</v>
      </c>
      <c r="R122" t="n">
        <v>-0.4320010282992589</v>
      </c>
      <c r="S122">
        <f>Q122-P122</f>
        <v/>
      </c>
      <c r="T122">
        <f>Q122-Settings!$B$5</f>
        <v/>
      </c>
      <c r="U122">
        <f>0.5*(P122+T122)</f>
        <v/>
      </c>
      <c r="V122">
        <f>AVERAGE(K103:K122)</f>
        <v/>
      </c>
      <c r="W122">
        <f>AVERAGE(L103:L122)</f>
        <v/>
      </c>
      <c r="X122">
        <f>AVERAGE(P103:P122)</f>
        <v/>
      </c>
      <c r="Y122">
        <f>AVERAGE(T103:T122)</f>
        <v/>
      </c>
      <c r="Z122">
        <f>AVERAGE(U103:U122)</f>
        <v/>
      </c>
      <c r="AA122">
        <f>0.5*V122+0.5*X122</f>
        <v/>
      </c>
      <c r="AB122">
        <f>Settings!$B$3+Settings!$B$4*W122</f>
        <v/>
      </c>
      <c r="AC122">
        <f>Z122</f>
        <v/>
      </c>
      <c r="AD122">
        <f>0.5*V122+0.5*Z122</f>
        <v/>
      </c>
      <c r="AE122">
        <f>(X122+Y122+V122)/3</f>
        <v/>
      </c>
      <c r="AF122">
        <f>0.7*X122+0.3*V122</f>
        <v/>
      </c>
    </row>
    <row r="123">
      <c r="A123" t="inlineStr">
        <is>
          <t>2015-04-01</t>
        </is>
      </c>
      <c r="B123" t="n">
        <v>783219.1076409478</v>
      </c>
      <c r="C123" t="n">
        <v>429958.7990005168</v>
      </c>
      <c r="D123" t="n">
        <v>64.57988522247341</v>
      </c>
      <c r="E123" t="n">
        <v>0.1223161073771531</v>
      </c>
      <c r="F123" t="n">
        <v>0.3342258465121184</v>
      </c>
      <c r="G123" t="n">
        <v>2.010955503333948</v>
      </c>
      <c r="H123" t="n">
        <v>84.01003615784298</v>
      </c>
      <c r="I123" t="n">
        <v>1357.116776678663</v>
      </c>
      <c r="J123" t="n">
        <v>854.0508397025269</v>
      </c>
      <c r="K123" t="n">
        <v>0.2553112245614102</v>
      </c>
      <c r="L123" t="n">
        <v>0.9684160145020542</v>
      </c>
      <c r="M123" t="n">
        <v>0.7150131339546988</v>
      </c>
      <c r="N123" t="n">
        <v>0.7675277851676015</v>
      </c>
      <c r="O123" t="n">
        <v>0.7675277851676015</v>
      </c>
      <c r="P123" t="n">
        <v>-0.6452116777904484</v>
      </c>
      <c r="Q123" t="n">
        <v>1.243427718166347</v>
      </c>
      <c r="R123" t="n">
        <v>-0.4333019386554831</v>
      </c>
      <c r="S123">
        <f>Q123-P123</f>
        <v/>
      </c>
      <c r="T123">
        <f>Q123-Settings!$B$5</f>
        <v/>
      </c>
      <c r="U123">
        <f>0.5*(P123+T123)</f>
        <v/>
      </c>
      <c r="V123">
        <f>AVERAGE(K104:K123)</f>
        <v/>
      </c>
      <c r="W123">
        <f>AVERAGE(L104:L123)</f>
        <v/>
      </c>
      <c r="X123">
        <f>AVERAGE(P104:P123)</f>
        <v/>
      </c>
      <c r="Y123">
        <f>AVERAGE(T104:T123)</f>
        <v/>
      </c>
      <c r="Z123">
        <f>AVERAGE(U104:U123)</f>
        <v/>
      </c>
      <c r="AA123">
        <f>0.5*V123+0.5*X123</f>
        <v/>
      </c>
      <c r="AB123">
        <f>Settings!$B$3+Settings!$B$4*W123</f>
        <v/>
      </c>
      <c r="AC123">
        <f>Z123</f>
        <v/>
      </c>
      <c r="AD123">
        <f>0.5*V123+0.5*Z123</f>
        <v/>
      </c>
      <c r="AE123">
        <f>(X123+Y123+V123)/3</f>
        <v/>
      </c>
      <c r="AF123">
        <f>0.7*X123+0.3*V123</f>
        <v/>
      </c>
    </row>
    <row r="124">
      <c r="A124" t="inlineStr">
        <is>
          <t>2015-07-01</t>
        </is>
      </c>
      <c r="B124" t="n">
        <v>783959.8101144967</v>
      </c>
      <c r="C124" t="n">
        <v>431632.9716603596</v>
      </c>
      <c r="D124" t="n">
        <v>64.67046688223977</v>
      </c>
      <c r="E124" t="n">
        <v>0.0596700547846313</v>
      </c>
      <c r="F124" t="n">
        <v>0.2614816326373639</v>
      </c>
      <c r="G124" t="n">
        <v>1.908746725684013</v>
      </c>
      <c r="H124" t="n">
        <v>83.88220930144368</v>
      </c>
      <c r="I124" t="n">
        <v>1357.211303540951</v>
      </c>
      <c r="J124" t="n">
        <v>854.5917358949889</v>
      </c>
      <c r="K124" t="n">
        <v>0.3781074491544132</v>
      </c>
      <c r="L124" t="n">
        <v>2.163584769848057</v>
      </c>
      <c r="M124" t="n">
        <v>0.5606587409388339</v>
      </c>
      <c r="N124" t="n">
        <v>0.6776507891593724</v>
      </c>
      <c r="O124" t="n">
        <v>0.6776507891593724</v>
      </c>
      <c r="P124" t="n">
        <v>-0.6179807343747411</v>
      </c>
      <c r="Q124" t="n">
        <v>1.231095936524641</v>
      </c>
      <c r="R124" t="n">
        <v>-0.4161691565220085</v>
      </c>
      <c r="S124">
        <f>Q124-P124</f>
        <v/>
      </c>
      <c r="T124">
        <f>Q124-Settings!$B$5</f>
        <v/>
      </c>
      <c r="U124">
        <f>0.5*(P124+T124)</f>
        <v/>
      </c>
      <c r="V124">
        <f>AVERAGE(K105:K124)</f>
        <v/>
      </c>
      <c r="W124">
        <f>AVERAGE(L105:L124)</f>
        <v/>
      </c>
      <c r="X124">
        <f>AVERAGE(P105:P124)</f>
        <v/>
      </c>
      <c r="Y124">
        <f>AVERAGE(T105:T124)</f>
        <v/>
      </c>
      <c r="Z124">
        <f>AVERAGE(U105:U124)</f>
        <v/>
      </c>
      <c r="AA124">
        <f>0.5*V124+0.5*X124</f>
        <v/>
      </c>
      <c r="AB124">
        <f>Settings!$B$3+Settings!$B$4*W124</f>
        <v/>
      </c>
      <c r="AC124">
        <f>Z124</f>
        <v/>
      </c>
      <c r="AD124">
        <f>0.5*V124+0.5*Z124</f>
        <v/>
      </c>
      <c r="AE124">
        <f>(X124+Y124+V124)/3</f>
        <v/>
      </c>
      <c r="AF124">
        <f>0.7*X124+0.3*V124</f>
        <v/>
      </c>
    </row>
    <row r="125">
      <c r="A125" t="inlineStr">
        <is>
          <t>2015-10-01</t>
        </is>
      </c>
      <c r="B125" t="n">
        <v>787638.2324743492</v>
      </c>
      <c r="C125" t="n">
        <v>433291.9520854703</v>
      </c>
      <c r="D125" t="n">
        <v>64.78448960819236</v>
      </c>
      <c r="E125" t="n">
        <v>0.0358682674869739</v>
      </c>
      <c r="F125" t="n">
        <v>0.1967887039819399</v>
      </c>
      <c r="G125" t="n">
        <v>1.955898893312906</v>
      </c>
      <c r="H125" t="n">
        <v>83.88527002724375</v>
      </c>
      <c r="I125" t="n">
        <v>1357.679416757852</v>
      </c>
      <c r="J125" t="n">
        <v>854.9717001782108</v>
      </c>
      <c r="K125" t="n">
        <v>1.872452867602988</v>
      </c>
      <c r="L125" t="n">
        <v>1.51985713288741</v>
      </c>
      <c r="M125" t="n">
        <v>0.704632768213969</v>
      </c>
      <c r="N125" t="n">
        <v>0.7286705941202172</v>
      </c>
      <c r="O125" t="n">
        <v>0.7286705941202172</v>
      </c>
      <c r="P125" t="n">
        <v>-0.6928023266332433</v>
      </c>
      <c r="Q125" t="n">
        <v>1.227228299192689</v>
      </c>
      <c r="R125" t="n">
        <v>-0.5318818901382772</v>
      </c>
      <c r="S125">
        <f>Q125-P125</f>
        <v/>
      </c>
      <c r="T125">
        <f>Q125-Settings!$B$5</f>
        <v/>
      </c>
      <c r="U125">
        <f>0.5*(P125+T125)</f>
        <v/>
      </c>
      <c r="V125">
        <f>AVERAGE(K106:K125)</f>
        <v/>
      </c>
      <c r="W125">
        <f>AVERAGE(L106:L125)</f>
        <v/>
      </c>
      <c r="X125">
        <f>AVERAGE(P106:P125)</f>
        <v/>
      </c>
      <c r="Y125">
        <f>AVERAGE(T106:T125)</f>
        <v/>
      </c>
      <c r="Z125">
        <f>AVERAGE(U106:U125)</f>
        <v/>
      </c>
      <c r="AA125">
        <f>0.5*V125+0.5*X125</f>
        <v/>
      </c>
      <c r="AB125">
        <f>Settings!$B$3+Settings!$B$4*W125</f>
        <v/>
      </c>
      <c r="AC125">
        <f>Z125</f>
        <v/>
      </c>
      <c r="AD125">
        <f>0.5*V125+0.5*Z125</f>
        <v/>
      </c>
      <c r="AE125">
        <f>(X125+Y125+V125)/3</f>
        <v/>
      </c>
      <c r="AF125">
        <f>0.7*X125+0.3*V125</f>
        <v/>
      </c>
    </row>
    <row r="126">
      <c r="A126" t="inlineStr">
        <is>
          <t>2016-01-01</t>
        </is>
      </c>
      <c r="B126" t="n">
        <v>790437.2119563831</v>
      </c>
      <c r="C126" t="n">
        <v>434232.6887993304</v>
      </c>
      <c r="D126" t="n">
        <v>64.97674757172737</v>
      </c>
      <c r="E126" t="n">
        <v>-0.06430899317588</v>
      </c>
      <c r="F126" t="n">
        <v>0.1341550934696221</v>
      </c>
      <c r="G126" t="n">
        <v>0.564626922519831</v>
      </c>
      <c r="H126" t="n">
        <v>83.96517825339041</v>
      </c>
      <c r="I126" t="n">
        <v>1358.03415042119</v>
      </c>
      <c r="J126" t="n">
        <v>855.0933650419615</v>
      </c>
      <c r="K126" t="n">
        <v>1.418934653353062</v>
      </c>
      <c r="L126" t="n">
        <v>0.4866594550030641</v>
      </c>
      <c r="M126" t="n">
        <v>1.185303768037784</v>
      </c>
      <c r="N126" t="n">
        <v>0.7914021027863214</v>
      </c>
      <c r="O126" t="n">
        <v>0.7914021027863214</v>
      </c>
      <c r="P126" t="n">
        <v>-0.8557110959622014</v>
      </c>
      <c r="Q126" t="n">
        <v>-0.2267751802664904</v>
      </c>
      <c r="R126" t="n">
        <v>-0.6572470093166993</v>
      </c>
      <c r="S126">
        <f>Q126-P126</f>
        <v/>
      </c>
      <c r="T126">
        <f>Q126-Settings!$B$5</f>
        <v/>
      </c>
      <c r="U126">
        <f>0.5*(P126+T126)</f>
        <v/>
      </c>
      <c r="V126">
        <f>AVERAGE(K107:K126)</f>
        <v/>
      </c>
      <c r="W126">
        <f>AVERAGE(L107:L126)</f>
        <v/>
      </c>
      <c r="X126">
        <f>AVERAGE(P107:P126)</f>
        <v/>
      </c>
      <c r="Y126">
        <f>AVERAGE(T107:T126)</f>
        <v/>
      </c>
      <c r="Z126">
        <f>AVERAGE(U107:U126)</f>
        <v/>
      </c>
      <c r="AA126">
        <f>0.5*V126+0.5*X126</f>
        <v/>
      </c>
      <c r="AB126">
        <f>Settings!$B$3+Settings!$B$4*W126</f>
        <v/>
      </c>
      <c r="AC126">
        <f>Z126</f>
        <v/>
      </c>
      <c r="AD126">
        <f>0.5*V126+0.5*Z126</f>
        <v/>
      </c>
      <c r="AE126">
        <f>(X126+Y126+V126)/3</f>
        <v/>
      </c>
      <c r="AF126">
        <f>0.7*X126+0.3*V126</f>
        <v/>
      </c>
    </row>
    <row r="127">
      <c r="A127" t="inlineStr">
        <is>
          <t>2016-04-01</t>
        </is>
      </c>
      <c r="B127" t="n">
        <v>792537.2372802164</v>
      </c>
      <c r="C127" t="n">
        <v>435715.0775725285</v>
      </c>
      <c r="D127" t="n">
        <v>65.17573334062142</v>
      </c>
      <c r="E127" t="n">
        <v>-0.0879177739161624</v>
      </c>
      <c r="F127" t="n">
        <v>0.1096903391681333</v>
      </c>
      <c r="G127" t="n">
        <v>0.4765123945267341</v>
      </c>
      <c r="H127" t="n">
        <v>83.91701100813471</v>
      </c>
      <c r="I127" t="n">
        <v>1358.299477073409</v>
      </c>
      <c r="J127" t="n">
        <v>855.4915470610063</v>
      </c>
      <c r="K127" t="n">
        <v>1.061306608874474</v>
      </c>
      <c r="L127" t="n">
        <v>1.592728076178901</v>
      </c>
      <c r="M127" t="n">
        <v>1.223094158716322</v>
      </c>
      <c r="N127" t="n">
        <v>0.9184223589767271</v>
      </c>
      <c r="O127" t="n">
        <v>0.9184223589767271</v>
      </c>
      <c r="P127" t="n">
        <v>-1.006340132892889</v>
      </c>
      <c r="Q127" t="n">
        <v>-0.441909964449993</v>
      </c>
      <c r="R127" t="n">
        <v>-0.8087320198085938</v>
      </c>
      <c r="S127">
        <f>Q127-P127</f>
        <v/>
      </c>
      <c r="T127">
        <f>Q127-Settings!$B$5</f>
        <v/>
      </c>
      <c r="U127">
        <f>0.5*(P127+T127)</f>
        <v/>
      </c>
      <c r="V127">
        <f>AVERAGE(K108:K127)</f>
        <v/>
      </c>
      <c r="W127">
        <f>AVERAGE(L108:L127)</f>
        <v/>
      </c>
      <c r="X127">
        <f>AVERAGE(P108:P127)</f>
        <v/>
      </c>
      <c r="Y127">
        <f>AVERAGE(T108:T127)</f>
        <v/>
      </c>
      <c r="Z127">
        <f>AVERAGE(U108:U127)</f>
        <v/>
      </c>
      <c r="AA127">
        <f>0.5*V127+0.5*X127</f>
        <v/>
      </c>
      <c r="AB127">
        <f>Settings!$B$3+Settings!$B$4*W127</f>
        <v/>
      </c>
      <c r="AC127">
        <f>Z127</f>
        <v/>
      </c>
      <c r="AD127">
        <f>0.5*V127+0.5*Z127</f>
        <v/>
      </c>
      <c r="AE127">
        <f>(X127+Y127+V127)/3</f>
        <v/>
      </c>
      <c r="AF127">
        <f>0.7*X127+0.3*V127</f>
        <v/>
      </c>
    </row>
    <row r="128">
      <c r="A128" t="inlineStr">
        <is>
          <t>2016-07-01</t>
        </is>
      </c>
      <c r="B128" t="n">
        <v>797780.1670878552</v>
      </c>
      <c r="C128" t="n">
        <v>438337.0650765061</v>
      </c>
      <c r="D128" t="n">
        <v>65.27696695418179</v>
      </c>
      <c r="E128" t="n">
        <v>-0.1306988400696448</v>
      </c>
      <c r="F128" t="n">
        <v>0.1232279949296943</v>
      </c>
      <c r="G128" t="n">
        <v>0.5028852856236575</v>
      </c>
      <c r="H128" t="n">
        <v>83.92436991448429</v>
      </c>
      <c r="I128" t="n">
        <v>1358.958835864062</v>
      </c>
      <c r="J128" t="n">
        <v>856.0827413255627</v>
      </c>
      <c r="K128" t="n">
        <v>2.637435162614565</v>
      </c>
      <c r="L128" t="n">
        <v>2.364777058225627</v>
      </c>
      <c r="M128" t="n">
        <v>0.6208143405399369</v>
      </c>
      <c r="N128" t="n">
        <v>0.9334612588770028</v>
      </c>
      <c r="O128" t="n">
        <v>0.9334612588770028</v>
      </c>
      <c r="P128" t="n">
        <v>-1.064160098946648</v>
      </c>
      <c r="Q128" t="n">
        <v>-0.4305759732533453</v>
      </c>
      <c r="R128" t="n">
        <v>-0.8102332639473085</v>
      </c>
      <c r="S128">
        <f>Q128-P128</f>
        <v/>
      </c>
      <c r="T128">
        <f>Q128-Settings!$B$5</f>
        <v/>
      </c>
      <c r="U128">
        <f>0.5*(P128+T128)</f>
        <v/>
      </c>
      <c r="V128">
        <f>AVERAGE(K109:K128)</f>
        <v/>
      </c>
      <c r="W128">
        <f>AVERAGE(L109:L128)</f>
        <v/>
      </c>
      <c r="X128">
        <f>AVERAGE(P109:P128)</f>
        <v/>
      </c>
      <c r="Y128">
        <f>AVERAGE(T109:T128)</f>
        <v/>
      </c>
      <c r="Z128">
        <f>AVERAGE(U109:U128)</f>
        <v/>
      </c>
      <c r="AA128">
        <f>0.5*V128+0.5*X128</f>
        <v/>
      </c>
      <c r="AB128">
        <f>Settings!$B$3+Settings!$B$4*W128</f>
        <v/>
      </c>
      <c r="AC128">
        <f>Z128</f>
        <v/>
      </c>
      <c r="AD128">
        <f>0.5*V128+0.5*Z128</f>
        <v/>
      </c>
      <c r="AE128">
        <f>(X128+Y128+V128)/3</f>
        <v/>
      </c>
      <c r="AF128">
        <f>0.7*X128+0.3*V128</f>
        <v/>
      </c>
    </row>
    <row r="129">
      <c r="A129" t="inlineStr">
        <is>
          <t>2016-10-01</t>
        </is>
      </c>
      <c r="B129" t="n">
        <v>797232.9763866186</v>
      </c>
      <c r="C129" t="n">
        <v>438745.7999793415</v>
      </c>
      <c r="D129" t="n">
        <v>65.38281068950121</v>
      </c>
      <c r="E129" t="n">
        <v>-0.0274410575489467</v>
      </c>
      <c r="F129" t="n">
        <v>0.1993853423064555</v>
      </c>
      <c r="G129" t="n">
        <v>0.2794995048657756</v>
      </c>
      <c r="H129" t="n">
        <v>83.81141628081564</v>
      </c>
      <c r="I129" t="n">
        <v>1358.890223172695</v>
      </c>
      <c r="J129" t="n">
        <v>856.3106250342532</v>
      </c>
      <c r="K129" t="n">
        <v>-0.2744507654715562</v>
      </c>
      <c r="L129" t="n">
        <v>0.9115348347622785</v>
      </c>
      <c r="M129" t="n">
        <v>0.648057177994815</v>
      </c>
      <c r="N129" t="n">
        <v>0.9193173613222143</v>
      </c>
      <c r="O129" t="n">
        <v>0.9193173613222143</v>
      </c>
      <c r="P129" t="n">
        <v>-0.946758418871161</v>
      </c>
      <c r="Q129" t="n">
        <v>-0.6398178564564387</v>
      </c>
      <c r="R129" t="n">
        <v>-0.7199320190157588</v>
      </c>
      <c r="S129">
        <f>Q129-P129</f>
        <v/>
      </c>
      <c r="T129">
        <f>Q129-Settings!$B$5</f>
        <v/>
      </c>
      <c r="U129">
        <f>0.5*(P129+T129)</f>
        <v/>
      </c>
      <c r="V129">
        <f>AVERAGE(K110:K129)</f>
        <v/>
      </c>
      <c r="W129">
        <f>AVERAGE(L110:L129)</f>
        <v/>
      </c>
      <c r="X129">
        <f>AVERAGE(P110:P129)</f>
        <v/>
      </c>
      <c r="Y129">
        <f>AVERAGE(T110:T129)</f>
        <v/>
      </c>
      <c r="Z129">
        <f>AVERAGE(U110:U129)</f>
        <v/>
      </c>
      <c r="AA129">
        <f>0.5*V129+0.5*X129</f>
        <v/>
      </c>
      <c r="AB129">
        <f>Settings!$B$3+Settings!$B$4*W129</f>
        <v/>
      </c>
      <c r="AC129">
        <f>Z129</f>
        <v/>
      </c>
      <c r="AD129">
        <f>0.5*V129+0.5*Z129</f>
        <v/>
      </c>
      <c r="AE129">
        <f>(X129+Y129+V129)/3</f>
        <v/>
      </c>
      <c r="AF129">
        <f>0.7*X129+0.3*V129</f>
        <v/>
      </c>
    </row>
    <row r="130">
      <c r="A130" t="inlineStr">
        <is>
          <t>2017-01-01</t>
        </is>
      </c>
      <c r="B130" t="n">
        <v>798562.1219493644</v>
      </c>
      <c r="C130" t="n">
        <v>441801.9611933453</v>
      </c>
      <c r="D130" t="n">
        <v>65.53383476326692</v>
      </c>
      <c r="E130" t="n">
        <v>-0.1220326210784871</v>
      </c>
      <c r="F130" t="n">
        <v>0.0783107420942568</v>
      </c>
      <c r="G130" t="n">
        <v>0.5162559525600178</v>
      </c>
      <c r="H130" t="n">
        <v>83.74238755793615</v>
      </c>
      <c r="I130" t="n">
        <v>1359.056804191961</v>
      </c>
      <c r="J130" t="n">
        <v>857.0871737312581</v>
      </c>
      <c r="K130" t="n">
        <v>0.6663240770649281</v>
      </c>
      <c r="L130" t="n">
        <v>3.106194788019366</v>
      </c>
      <c r="M130" t="n">
        <v>0.9228720472401619</v>
      </c>
      <c r="N130" t="n">
        <v>0.8537094311228088</v>
      </c>
      <c r="O130" t="n">
        <v>0.8537094311228088</v>
      </c>
      <c r="P130" t="n">
        <v>-0.975742052201296</v>
      </c>
      <c r="Q130" t="n">
        <v>-0.3374534785627911</v>
      </c>
      <c r="R130" t="n">
        <v>-0.775398689028552</v>
      </c>
      <c r="S130">
        <f>Q130-P130</f>
        <v/>
      </c>
      <c r="T130">
        <f>Q130-Settings!$B$5</f>
        <v/>
      </c>
      <c r="U130">
        <f>0.5*(P130+T130)</f>
        <v/>
      </c>
      <c r="V130">
        <f>AVERAGE(K111:K130)</f>
        <v/>
      </c>
      <c r="W130">
        <f>AVERAGE(L111:L130)</f>
        <v/>
      </c>
      <c r="X130">
        <f>AVERAGE(P111:P130)</f>
        <v/>
      </c>
      <c r="Y130">
        <f>AVERAGE(T111:T130)</f>
        <v/>
      </c>
      <c r="Z130">
        <f>AVERAGE(U111:U130)</f>
        <v/>
      </c>
      <c r="AA130">
        <f>0.5*V130+0.5*X130</f>
        <v/>
      </c>
      <c r="AB130">
        <f>Settings!$B$3+Settings!$B$4*W130</f>
        <v/>
      </c>
      <c r="AC130">
        <f>Z130</f>
        <v/>
      </c>
      <c r="AD130">
        <f>0.5*V130+0.5*Z130</f>
        <v/>
      </c>
      <c r="AE130">
        <f>(X130+Y130+V130)/3</f>
        <v/>
      </c>
      <c r="AF130">
        <f>0.7*X130+0.3*V130</f>
        <v/>
      </c>
    </row>
    <row r="131">
      <c r="A131" t="inlineStr">
        <is>
          <t>2017-04-01</t>
        </is>
      </c>
      <c r="B131" t="n">
        <v>799769.29432267</v>
      </c>
      <c r="C131" t="n">
        <v>435380.1987462332</v>
      </c>
      <c r="D131" t="n">
        <v>65.5905955245106</v>
      </c>
      <c r="E131" t="n">
        <v>-0.0983946163014532</v>
      </c>
      <c r="F131" t="n">
        <v>0.1090690029925792</v>
      </c>
      <c r="G131" t="n">
        <v>0.1367641011770682</v>
      </c>
      <c r="H131" t="n">
        <v>83.76297814014649</v>
      </c>
      <c r="I131" t="n">
        <v>1359.207858296329</v>
      </c>
      <c r="J131" t="n">
        <v>855.5983826876851</v>
      </c>
      <c r="K131" t="n">
        <v>0.6042164174723439</v>
      </c>
      <c r="L131" t="n">
        <v>-5.955164174291895</v>
      </c>
      <c r="M131" t="n">
        <v>0.3463016901696392</v>
      </c>
      <c r="N131" t="n">
        <v>0.6345113139861382</v>
      </c>
      <c r="O131" t="n">
        <v>0.6345113139861382</v>
      </c>
      <c r="P131" t="n">
        <v>-0.7329059302875914</v>
      </c>
      <c r="Q131" t="n">
        <v>-0.4977472128090701</v>
      </c>
      <c r="R131" t="n">
        <v>-0.5254423109935591</v>
      </c>
      <c r="S131">
        <f>Q131-P131</f>
        <v/>
      </c>
      <c r="T131">
        <f>Q131-Settings!$B$5</f>
        <v/>
      </c>
      <c r="U131">
        <f>0.5*(P131+T131)</f>
        <v/>
      </c>
      <c r="V131">
        <f>AVERAGE(K112:K131)</f>
        <v/>
      </c>
      <c r="W131">
        <f>AVERAGE(L112:L131)</f>
        <v/>
      </c>
      <c r="X131">
        <f>AVERAGE(P112:P131)</f>
        <v/>
      </c>
      <c r="Y131">
        <f>AVERAGE(T112:T131)</f>
        <v/>
      </c>
      <c r="Z131">
        <f>AVERAGE(U112:U131)</f>
        <v/>
      </c>
      <c r="AA131">
        <f>0.5*V131+0.5*X131</f>
        <v/>
      </c>
      <c r="AB131">
        <f>Settings!$B$3+Settings!$B$4*W131</f>
        <v/>
      </c>
      <c r="AC131">
        <f>Z131</f>
        <v/>
      </c>
      <c r="AD131">
        <f>0.5*V131+0.5*Z131</f>
        <v/>
      </c>
      <c r="AE131">
        <f>(X131+Y131+V131)/3</f>
        <v/>
      </c>
      <c r="AF131">
        <f>0.7*X131+0.3*V131</f>
        <v/>
      </c>
    </row>
    <row r="132">
      <c r="A132" t="inlineStr">
        <is>
          <t>2017-07-01</t>
        </is>
      </c>
      <c r="B132" t="n">
        <v>802812.7760044538</v>
      </c>
      <c r="C132" t="n">
        <v>441128.9027789289</v>
      </c>
      <c r="D132" t="n">
        <v>65.70546660242233</v>
      </c>
      <c r="E132" t="n">
        <v>-0.0865543276160699</v>
      </c>
      <c r="F132" t="n">
        <v>0.1147720437270559</v>
      </c>
      <c r="G132" t="n">
        <v>0.3410993316433882</v>
      </c>
      <c r="H132" t="n">
        <v>83.75510156486203</v>
      </c>
      <c r="I132" t="n">
        <v>1359.587681008319</v>
      </c>
      <c r="J132" t="n">
        <v>856.919532521224</v>
      </c>
      <c r="K132" t="n">
        <v>1.519290847959383</v>
      </c>
      <c r="L132" t="n">
        <v>5.2845993341557</v>
      </c>
      <c r="M132" t="n">
        <v>0.6999211117854429</v>
      </c>
      <c r="N132" t="n">
        <v>0.6542880067975148</v>
      </c>
      <c r="O132" t="n">
        <v>0.6542880067975148</v>
      </c>
      <c r="P132" t="n">
        <v>-0.7408423344135846</v>
      </c>
      <c r="Q132" t="n">
        <v>-0.3131886751541266</v>
      </c>
      <c r="R132" t="n">
        <v>-0.5395159630704589</v>
      </c>
      <c r="S132">
        <f>Q132-P132</f>
        <v/>
      </c>
      <c r="T132">
        <f>Q132-Settings!$B$5</f>
        <v/>
      </c>
      <c r="U132">
        <f>0.5*(P132+T132)</f>
        <v/>
      </c>
      <c r="V132">
        <f>AVERAGE(K113:K132)</f>
        <v/>
      </c>
      <c r="W132">
        <f>AVERAGE(L113:L132)</f>
        <v/>
      </c>
      <c r="X132">
        <f>AVERAGE(P113:P132)</f>
        <v/>
      </c>
      <c r="Y132">
        <f>AVERAGE(T113:T132)</f>
        <v/>
      </c>
      <c r="Z132">
        <f>AVERAGE(U113:U132)</f>
        <v/>
      </c>
      <c r="AA132">
        <f>0.5*V132+0.5*X132</f>
        <v/>
      </c>
      <c r="AB132">
        <f>Settings!$B$3+Settings!$B$4*W132</f>
        <v/>
      </c>
      <c r="AC132">
        <f>Z132</f>
        <v/>
      </c>
      <c r="AD132">
        <f>0.5*V132+0.5*Z132</f>
        <v/>
      </c>
      <c r="AE132">
        <f>(X132+Y132+V132)/3</f>
        <v/>
      </c>
      <c r="AF132">
        <f>0.7*X132+0.3*V132</f>
        <v/>
      </c>
    </row>
    <row r="133">
      <c r="A133" t="inlineStr">
        <is>
          <t>2017-10-01</t>
        </is>
      </c>
      <c r="B133" t="n">
        <v>803985.8447144664</v>
      </c>
      <c r="C133" t="n">
        <v>442504.5345107113</v>
      </c>
      <c r="D133" t="n">
        <v>65.80282235927767</v>
      </c>
      <c r="E133" t="n">
        <v>-0.1309832967064307</v>
      </c>
      <c r="F133" t="n">
        <v>0.0629292837497028</v>
      </c>
      <c r="G133" t="n">
        <v>0.5141935633876676</v>
      </c>
      <c r="H133" t="n">
        <v>83.728949435817</v>
      </c>
      <c r="I133" t="n">
        <v>1359.733694192958</v>
      </c>
      <c r="J133" t="n">
        <v>857.2621201768079</v>
      </c>
      <c r="K133" t="n">
        <v>0.5840527385571477</v>
      </c>
      <c r="L133" t="n">
        <v>1.370350622335536</v>
      </c>
      <c r="M133" t="n">
        <v>0.5922411456137979</v>
      </c>
      <c r="N133" t="n">
        <v>0.6403339987022605</v>
      </c>
      <c r="O133" t="n">
        <v>0.6403339987022605</v>
      </c>
      <c r="P133" t="n">
        <v>-0.7713172954086912</v>
      </c>
      <c r="Q133" t="n">
        <v>-0.1261404353145928</v>
      </c>
      <c r="R133" t="n">
        <v>-0.5774047149525576</v>
      </c>
      <c r="S133">
        <f>Q133-P133</f>
        <v/>
      </c>
      <c r="T133">
        <f>Q133-Settings!$B$5</f>
        <v/>
      </c>
      <c r="U133">
        <f>0.5*(P133+T133)</f>
        <v/>
      </c>
      <c r="V133">
        <f>AVERAGE(K114:K133)</f>
        <v/>
      </c>
      <c r="W133">
        <f>AVERAGE(L114:L133)</f>
        <v/>
      </c>
      <c r="X133">
        <f>AVERAGE(P114:P133)</f>
        <v/>
      </c>
      <c r="Y133">
        <f>AVERAGE(T114:T133)</f>
        <v/>
      </c>
      <c r="Z133">
        <f>AVERAGE(U114:U133)</f>
        <v/>
      </c>
      <c r="AA133">
        <f>0.5*V133+0.5*X133</f>
        <v/>
      </c>
      <c r="AB133">
        <f>Settings!$B$3+Settings!$B$4*W133</f>
        <v/>
      </c>
      <c r="AC133">
        <f>Z133</f>
        <v/>
      </c>
      <c r="AD133">
        <f>0.5*V133+0.5*Z133</f>
        <v/>
      </c>
      <c r="AE133">
        <f>(X133+Y133+V133)/3</f>
        <v/>
      </c>
      <c r="AF133">
        <f>0.7*X133+0.3*V133</f>
        <v/>
      </c>
    </row>
    <row r="134">
      <c r="A134" t="inlineStr">
        <is>
          <t>2018-01-01</t>
        </is>
      </c>
      <c r="B134" t="n">
        <v>810474.6533405636</v>
      </c>
      <c r="C134" t="n">
        <v>446289.1422719721</v>
      </c>
      <c r="D134" t="n">
        <v>65.91711777475049</v>
      </c>
      <c r="E134" t="n">
        <v>-0.07644318533000349</v>
      </c>
      <c r="F134" t="n">
        <v>0.0910839987483478</v>
      </c>
      <c r="G134" t="n">
        <v>0.571309748396676</v>
      </c>
      <c r="H134" t="n">
        <v>83.75668402393784</v>
      </c>
      <c r="I134" t="n">
        <v>1360.537534680096</v>
      </c>
      <c r="J134" t="n">
        <v>858.0806345242448</v>
      </c>
      <c r="K134" t="n">
        <v>3.215361948551617</v>
      </c>
      <c r="L134" t="n">
        <v>3.274057389747668</v>
      </c>
      <c r="M134" t="n">
        <v>0.6941724634373259</v>
      </c>
      <c r="N134" t="n">
        <v>0.5831591027515515</v>
      </c>
      <c r="O134" t="n">
        <v>0.5831591027515515</v>
      </c>
      <c r="P134" t="n">
        <v>-0.659602288081555</v>
      </c>
      <c r="Q134" t="n">
        <v>-0.01184935435487544</v>
      </c>
      <c r="R134" t="n">
        <v>-0.4920751040032036</v>
      </c>
      <c r="S134">
        <f>Q134-P134</f>
        <v/>
      </c>
      <c r="T134">
        <f>Q134-Settings!$B$5</f>
        <v/>
      </c>
      <c r="U134">
        <f>0.5*(P134+T134)</f>
        <v/>
      </c>
      <c r="V134">
        <f>AVERAGE(K115:K134)</f>
        <v/>
      </c>
      <c r="W134">
        <f>AVERAGE(L115:L134)</f>
        <v/>
      </c>
      <c r="X134">
        <f>AVERAGE(P115:P134)</f>
        <v/>
      </c>
      <c r="Y134">
        <f>AVERAGE(T115:T134)</f>
        <v/>
      </c>
      <c r="Z134">
        <f>AVERAGE(U115:U134)</f>
        <v/>
      </c>
      <c r="AA134">
        <f>0.5*V134+0.5*X134</f>
        <v/>
      </c>
      <c r="AB134">
        <f>Settings!$B$3+Settings!$B$4*W134</f>
        <v/>
      </c>
      <c r="AC134">
        <f>Z134</f>
        <v/>
      </c>
      <c r="AD134">
        <f>0.5*V134+0.5*Z134</f>
        <v/>
      </c>
      <c r="AE134">
        <f>(X134+Y134+V134)/3</f>
        <v/>
      </c>
      <c r="AF134">
        <f>0.7*X134+0.3*V134</f>
        <v/>
      </c>
    </row>
    <row r="135">
      <c r="A135" t="inlineStr">
        <is>
          <t>2018-04-01</t>
        </is>
      </c>
      <c r="B135" t="n">
        <v>815276.6473122027</v>
      </c>
      <c r="C135" t="n">
        <v>447735.5827607949</v>
      </c>
      <c r="D135" t="n">
        <v>65.97481873883696</v>
      </c>
      <c r="E135" t="n">
        <v>-0.1266726173582362</v>
      </c>
      <c r="F135" t="n">
        <v>0.06879582631355589</v>
      </c>
      <c r="G135" t="n">
        <v>0.3570845046277707</v>
      </c>
      <c r="H135" t="n">
        <v>83.65693647874983</v>
      </c>
      <c r="I135" t="n">
        <v>1361.128277917958</v>
      </c>
      <c r="J135" t="n">
        <v>858.5233773464765</v>
      </c>
      <c r="K135" t="n">
        <v>2.362972951448683</v>
      </c>
      <c r="L135" t="n">
        <v>1.77097128892683</v>
      </c>
      <c r="M135" t="n">
        <v>0.3499893582152254</v>
      </c>
      <c r="N135" t="n">
        <v>0.584081019762948</v>
      </c>
      <c r="O135" t="n">
        <v>0.584081019762948</v>
      </c>
      <c r="P135" t="n">
        <v>-0.7107536371211842</v>
      </c>
      <c r="Q135" t="n">
        <v>-0.2269965151351773</v>
      </c>
      <c r="R135" t="n">
        <v>-0.5152851934493922</v>
      </c>
      <c r="S135">
        <f>Q135-P135</f>
        <v/>
      </c>
      <c r="T135">
        <f>Q135-Settings!$B$5</f>
        <v/>
      </c>
      <c r="U135">
        <f>0.5*(P135+T135)</f>
        <v/>
      </c>
      <c r="V135">
        <f>AVERAGE(K116:K135)</f>
        <v/>
      </c>
      <c r="W135">
        <f>AVERAGE(L116:L135)</f>
        <v/>
      </c>
      <c r="X135">
        <f>AVERAGE(P116:P135)</f>
        <v/>
      </c>
      <c r="Y135">
        <f>AVERAGE(T116:T135)</f>
        <v/>
      </c>
      <c r="Z135">
        <f>AVERAGE(U116:U135)</f>
        <v/>
      </c>
      <c r="AA135">
        <f>0.5*V135+0.5*X135</f>
        <v/>
      </c>
      <c r="AB135">
        <f>Settings!$B$3+Settings!$B$4*W135</f>
        <v/>
      </c>
      <c r="AC135">
        <f>Z135</f>
        <v/>
      </c>
      <c r="AD135">
        <f>0.5*V135+0.5*Z135</f>
        <v/>
      </c>
      <c r="AE135">
        <f>(X135+Y135+V135)/3</f>
        <v/>
      </c>
      <c r="AF135">
        <f>0.7*X135+0.3*V135</f>
        <v/>
      </c>
    </row>
    <row r="136">
      <c r="A136" t="inlineStr">
        <is>
          <t>2018-07-01</t>
        </is>
      </c>
      <c r="B136" t="n">
        <v>817303.7327526181</v>
      </c>
      <c r="C136" t="n">
        <v>446369.4194042423</v>
      </c>
      <c r="D136" t="n">
        <v>65.9951305225828</v>
      </c>
      <c r="E136" t="n">
        <v>-0.1205819161108104</v>
      </c>
      <c r="F136" t="n">
        <v>0.0570351361896141</v>
      </c>
      <c r="G136" t="n">
        <v>0.4082078797012956</v>
      </c>
      <c r="H136" t="n">
        <v>83.66760172359015</v>
      </c>
      <c r="I136" t="n">
        <v>1361.376607066939</v>
      </c>
      <c r="J136" t="n">
        <v>858.2050356403469</v>
      </c>
      <c r="K136" t="n">
        <v>0.9933165959246253</v>
      </c>
      <c r="L136" t="n">
        <v>-1.273366824518689</v>
      </c>
      <c r="M136" t="n">
        <v>0.123129752007344</v>
      </c>
      <c r="N136" t="n">
        <v>0.4398831798184233</v>
      </c>
      <c r="O136" t="n">
        <v>0.4398831798184233</v>
      </c>
      <c r="P136" t="n">
        <v>-0.5604650959292337</v>
      </c>
      <c r="Q136" t="n">
        <v>-0.03167530011712771</v>
      </c>
      <c r="R136" t="n">
        <v>-0.3828480436288092</v>
      </c>
      <c r="S136">
        <f>Q136-P136</f>
        <v/>
      </c>
      <c r="T136">
        <f>Q136-Settings!$B$5</f>
        <v/>
      </c>
      <c r="U136">
        <f>0.5*(P136+T136)</f>
        <v/>
      </c>
      <c r="V136">
        <f>AVERAGE(K117:K136)</f>
        <v/>
      </c>
      <c r="W136">
        <f>AVERAGE(L117:L136)</f>
        <v/>
      </c>
      <c r="X136">
        <f>AVERAGE(P117:P136)</f>
        <v/>
      </c>
      <c r="Y136">
        <f>AVERAGE(T117:T136)</f>
        <v/>
      </c>
      <c r="Z136">
        <f>AVERAGE(U117:U136)</f>
        <v/>
      </c>
      <c r="AA136">
        <f>0.5*V136+0.5*X136</f>
        <v/>
      </c>
      <c r="AB136">
        <f>Settings!$B$3+Settings!$B$4*W136</f>
        <v/>
      </c>
      <c r="AC136">
        <f>Z136</f>
        <v/>
      </c>
      <c r="AD136">
        <f>0.5*V136+0.5*Z136</f>
        <v/>
      </c>
      <c r="AE136">
        <f>(X136+Y136+V136)/3</f>
        <v/>
      </c>
      <c r="AF136">
        <f>0.7*X136+0.3*V136</f>
        <v/>
      </c>
    </row>
    <row r="137">
      <c r="A137" t="inlineStr">
        <is>
          <t>2018-10-01</t>
        </is>
      </c>
      <c r="B137" t="n">
        <v>820610.4510044879</v>
      </c>
      <c r="C137" t="n">
        <v>451928.2810117436</v>
      </c>
      <c r="D137" t="n">
        <v>65.99151820791019</v>
      </c>
      <c r="E137" t="n">
        <v>-0.0318678680098329</v>
      </c>
      <c r="F137" t="n">
        <v>0.1306226658224726</v>
      </c>
      <c r="G137" t="n">
        <v>0.7051862308515802</v>
      </c>
      <c r="H137" t="n">
        <v>83.57556864252827</v>
      </c>
      <c r="I137" t="n">
        <v>1361.780379471766</v>
      </c>
      <c r="J137" t="n">
        <v>859.5527539635084</v>
      </c>
      <c r="K137" t="n">
        <v>1.615089619308492</v>
      </c>
      <c r="L137" t="n">
        <v>5.39087329264612</v>
      </c>
      <c r="M137" t="n">
        <v>-0.02189503079739552</v>
      </c>
      <c r="N137" t="n">
        <v>0.2863491357156249</v>
      </c>
      <c r="O137" t="n">
        <v>0.2863491357156249</v>
      </c>
      <c r="P137" t="n">
        <v>-0.3182170037254578</v>
      </c>
      <c r="Q137" t="n">
        <v>0.4188370951359552</v>
      </c>
      <c r="R137" t="n">
        <v>-0.1557264698931523</v>
      </c>
      <c r="S137">
        <f>Q137-P137</f>
        <v/>
      </c>
      <c r="T137">
        <f>Q137-Settings!$B$5</f>
        <v/>
      </c>
      <c r="U137">
        <f>0.5*(P137+T137)</f>
        <v/>
      </c>
      <c r="V137">
        <f>AVERAGE(K118:K137)</f>
        <v/>
      </c>
      <c r="W137">
        <f>AVERAGE(L118:L137)</f>
        <v/>
      </c>
      <c r="X137">
        <f>AVERAGE(P118:P137)</f>
        <v/>
      </c>
      <c r="Y137">
        <f>AVERAGE(T118:T137)</f>
        <v/>
      </c>
      <c r="Z137">
        <f>AVERAGE(U118:U137)</f>
        <v/>
      </c>
      <c r="AA137">
        <f>0.5*V137+0.5*X137</f>
        <v/>
      </c>
      <c r="AB137">
        <f>Settings!$B$3+Settings!$B$4*W137</f>
        <v/>
      </c>
      <c r="AC137">
        <f>Z137</f>
        <v/>
      </c>
      <c r="AD137">
        <f>0.5*V137+0.5*Z137</f>
        <v/>
      </c>
      <c r="AE137">
        <f>(X137+Y137+V137)/3</f>
        <v/>
      </c>
      <c r="AF137">
        <f>0.7*X137+0.3*V137</f>
        <v/>
      </c>
    </row>
    <row r="138">
      <c r="A138" t="inlineStr">
        <is>
          <t>2019-01-01</t>
        </is>
      </c>
      <c r="B138" t="n">
        <v>827261.7965113508</v>
      </c>
      <c r="C138" t="n">
        <v>458148.6096546872</v>
      </c>
      <c r="D138" t="n">
        <v>66.03521654141444</v>
      </c>
      <c r="E138" t="n">
        <v>-0.1520293026256216</v>
      </c>
      <c r="F138" t="n">
        <v>0.0633073518108043</v>
      </c>
      <c r="G138" t="n">
        <v>0.3995676842171107</v>
      </c>
      <c r="H138" t="n">
        <v>83.62251586390218</v>
      </c>
      <c r="I138" t="n">
        <v>1362.587648559316</v>
      </c>
      <c r="J138" t="n">
        <v>860.8636073350375</v>
      </c>
      <c r="K138" t="n">
        <v>3.229076350197829</v>
      </c>
      <c r="L138" t="n">
        <v>5.243413486116424</v>
      </c>
      <c r="M138" t="n">
        <v>0.2647847661030482</v>
      </c>
      <c r="N138" t="n">
        <v>0.1790022113820555</v>
      </c>
      <c r="O138" t="n">
        <v>0.1790022113820555</v>
      </c>
      <c r="P138" t="n">
        <v>-0.3310315140076771</v>
      </c>
      <c r="Q138" t="n">
        <v>0.2205654728350552</v>
      </c>
      <c r="R138" t="n">
        <v>-0.1156948595712512</v>
      </c>
      <c r="S138">
        <f>Q138-P138</f>
        <v/>
      </c>
      <c r="T138">
        <f>Q138-Settings!$B$5</f>
        <v/>
      </c>
      <c r="U138">
        <f>0.5*(P138+T138)</f>
        <v/>
      </c>
      <c r="V138">
        <f>AVERAGE(K119:K138)</f>
        <v/>
      </c>
      <c r="W138">
        <f>AVERAGE(L119:L138)</f>
        <v/>
      </c>
      <c r="X138">
        <f>AVERAGE(P119:P138)</f>
        <v/>
      </c>
      <c r="Y138">
        <f>AVERAGE(T119:T138)</f>
        <v/>
      </c>
      <c r="Z138">
        <f>AVERAGE(U119:U138)</f>
        <v/>
      </c>
      <c r="AA138">
        <f>0.5*V138+0.5*X138</f>
        <v/>
      </c>
      <c r="AB138">
        <f>Settings!$B$3+Settings!$B$4*W138</f>
        <v/>
      </c>
      <c r="AC138">
        <f>Z138</f>
        <v/>
      </c>
      <c r="AD138">
        <f>0.5*V138+0.5*Z138</f>
        <v/>
      </c>
      <c r="AE138">
        <f>(X138+Y138+V138)/3</f>
        <v/>
      </c>
      <c r="AF138">
        <f>0.7*X138+0.3*V138</f>
        <v/>
      </c>
    </row>
    <row r="139">
      <c r="A139" t="inlineStr">
        <is>
          <t>2019-04-01</t>
        </is>
      </c>
      <c r="B139" t="n">
        <v>835200.3102734447</v>
      </c>
      <c r="C139" t="n">
        <v>456550.4196548597</v>
      </c>
      <c r="D139" t="n">
        <v>66.1115969640359</v>
      </c>
      <c r="E139" t="n">
        <v>-0.2206390165464745</v>
      </c>
      <c r="F139" t="n">
        <v>-0.008901076748477401</v>
      </c>
      <c r="G139" t="n">
        <v>0.6036530146938239</v>
      </c>
      <c r="H139" t="n">
        <v>83.57515542750929</v>
      </c>
      <c r="I139" t="n">
        <v>1363.542686760642</v>
      </c>
      <c r="J139" t="n">
        <v>860.5708129189832</v>
      </c>
      <c r="K139" t="n">
        <v>3.820152805306861</v>
      </c>
      <c r="L139" t="n">
        <v>-1.171177664217339</v>
      </c>
      <c r="M139" t="n">
        <v>0.4623974145183638</v>
      </c>
      <c r="N139" t="n">
        <v>0.2071042254578401</v>
      </c>
      <c r="O139" t="n">
        <v>0.2071042254578401</v>
      </c>
      <c r="P139" t="n">
        <v>-0.4277432420043146</v>
      </c>
      <c r="Q139" t="n">
        <v>0.3965487892359838</v>
      </c>
      <c r="R139" t="n">
        <v>-0.2160053022063175</v>
      </c>
      <c r="S139">
        <f>Q139-P139</f>
        <v/>
      </c>
      <c r="T139">
        <f>Q139-Settings!$B$5</f>
        <v/>
      </c>
      <c r="U139">
        <f>0.5*(P139+T139)</f>
        <v/>
      </c>
      <c r="V139">
        <f>AVERAGE(K120:K139)</f>
        <v/>
      </c>
      <c r="W139">
        <f>AVERAGE(L120:L139)</f>
        <v/>
      </c>
      <c r="X139">
        <f>AVERAGE(P120:P139)</f>
        <v/>
      </c>
      <c r="Y139">
        <f>AVERAGE(T120:T139)</f>
        <v/>
      </c>
      <c r="Z139">
        <f>AVERAGE(U120:U139)</f>
        <v/>
      </c>
      <c r="AA139">
        <f>0.5*V139+0.5*X139</f>
        <v/>
      </c>
      <c r="AB139">
        <f>Settings!$B$3+Settings!$B$4*W139</f>
        <v/>
      </c>
      <c r="AC139">
        <f>Z139</f>
        <v/>
      </c>
      <c r="AD139">
        <f>0.5*V139+0.5*Z139</f>
        <v/>
      </c>
      <c r="AE139">
        <f>(X139+Y139+V139)/3</f>
        <v/>
      </c>
      <c r="AF139">
        <f>0.7*X139+0.3*V139</f>
        <v/>
      </c>
    </row>
    <row r="140">
      <c r="A140" t="inlineStr">
        <is>
          <t>2019-07-01</t>
        </is>
      </c>
      <c r="B140" t="n">
        <v>845950.2632982336</v>
      </c>
      <c r="C140" t="n">
        <v>466883.087681466</v>
      </c>
      <c r="D140" t="n">
        <v>66.19628102721231</v>
      </c>
      <c r="E140" t="n">
        <v>-0.0194531502494052</v>
      </c>
      <c r="F140" t="n">
        <v>0.1269456244095524</v>
      </c>
      <c r="G140" t="n">
        <v>0.58035486443296</v>
      </c>
      <c r="H140" t="n">
        <v>83.51250933308577</v>
      </c>
      <c r="I140" t="n">
        <v>1364.821584643252</v>
      </c>
      <c r="J140" t="n">
        <v>862.8837724723347</v>
      </c>
      <c r="K140" t="n">
        <v>5.115591530436177</v>
      </c>
      <c r="L140" t="n">
        <v>9.251838213406245</v>
      </c>
      <c r="M140" t="n">
        <v>0.5120425240049826</v>
      </c>
      <c r="N140" t="n">
        <v>0.3043324184572498</v>
      </c>
      <c r="O140" t="n">
        <v>0.3043324184572498</v>
      </c>
      <c r="P140" t="n">
        <v>-0.323785568706655</v>
      </c>
      <c r="Q140" t="n">
        <v>0.2760224459757102</v>
      </c>
      <c r="R140" t="n">
        <v>-0.1773867940476974</v>
      </c>
      <c r="S140">
        <f>Q140-P140</f>
        <v/>
      </c>
      <c r="T140">
        <f>Q140-Settings!$B$5</f>
        <v/>
      </c>
      <c r="U140">
        <f>0.5*(P140+T140)</f>
        <v/>
      </c>
      <c r="V140">
        <f>AVERAGE(K121:K140)</f>
        <v/>
      </c>
      <c r="W140">
        <f>AVERAGE(L121:L140)</f>
        <v/>
      </c>
      <c r="X140">
        <f>AVERAGE(P121:P140)</f>
        <v/>
      </c>
      <c r="Y140">
        <f>AVERAGE(T121:T140)</f>
        <v/>
      </c>
      <c r="Z140">
        <f>AVERAGE(U121:U140)</f>
        <v/>
      </c>
      <c r="AA140">
        <f>0.5*V140+0.5*X140</f>
        <v/>
      </c>
      <c r="AB140">
        <f>Settings!$B$3+Settings!$B$4*W140</f>
        <v/>
      </c>
      <c r="AC140">
        <f>Z140</f>
        <v/>
      </c>
      <c r="AD140">
        <f>0.5*V140+0.5*Z140</f>
        <v/>
      </c>
      <c r="AE140">
        <f>(X140+Y140+V140)/3</f>
        <v/>
      </c>
      <c r="AF140">
        <f>0.7*X140+0.3*V140</f>
        <v/>
      </c>
    </row>
    <row r="141">
      <c r="A141" t="inlineStr">
        <is>
          <t>2019-10-01</t>
        </is>
      </c>
      <c r="B141" t="n">
        <v>858881.4072216133</v>
      </c>
      <c r="C141" t="n">
        <v>471764.4204116671</v>
      </c>
      <c r="D141" t="n">
        <v>66.39204246459784</v>
      </c>
      <c r="E141" t="n">
        <v>0.0274663976303501</v>
      </c>
      <c r="F141" t="n">
        <v>0.2237858585054963</v>
      </c>
      <c r="G141" t="n">
        <v>0.6682700153184767</v>
      </c>
      <c r="H141" t="n">
        <v>83.51320853189127</v>
      </c>
      <c r="I141" t="n">
        <v>1366.338613232198</v>
      </c>
      <c r="J141" t="n">
        <v>863.9230225316476</v>
      </c>
      <c r="K141" t="n">
        <v>6.068114355787657</v>
      </c>
      <c r="L141" t="n">
        <v>4.157000237251395</v>
      </c>
      <c r="M141" t="n">
        <v>1.181169348728872</v>
      </c>
      <c r="N141" t="n">
        <v>0.6050985133388167</v>
      </c>
      <c r="O141" t="n">
        <v>0.6050985133388167</v>
      </c>
      <c r="P141" t="n">
        <v>-0.5776321157084666</v>
      </c>
      <c r="Q141" t="n">
        <v>0.06317150197966004</v>
      </c>
      <c r="R141" t="n">
        <v>-0.3813126548333204</v>
      </c>
      <c r="S141">
        <f>Q141-P141</f>
        <v/>
      </c>
      <c r="T141">
        <f>Q141-Settings!$B$5</f>
        <v/>
      </c>
      <c r="U141">
        <f>0.5*(P141+T141)</f>
        <v/>
      </c>
      <c r="V141">
        <f>AVERAGE(K122:K141)</f>
        <v/>
      </c>
      <c r="W141">
        <f>AVERAGE(L122:L141)</f>
        <v/>
      </c>
      <c r="X141">
        <f>AVERAGE(P122:P141)</f>
        <v/>
      </c>
      <c r="Y141">
        <f>AVERAGE(T122:T141)</f>
        <v/>
      </c>
      <c r="Z141">
        <f>AVERAGE(U122:U141)</f>
        <v/>
      </c>
      <c r="AA141">
        <f>0.5*V141+0.5*X141</f>
        <v/>
      </c>
      <c r="AB141">
        <f>Settings!$B$3+Settings!$B$4*W141</f>
        <v/>
      </c>
      <c r="AC141">
        <f>Z141</f>
        <v/>
      </c>
      <c r="AD141">
        <f>0.5*V141+0.5*Z141</f>
        <v/>
      </c>
      <c r="AE141">
        <f>(X141+Y141+V141)/3</f>
        <v/>
      </c>
      <c r="AF141">
        <f>0.7*X141+0.3*V141</f>
        <v/>
      </c>
    </row>
    <row r="142">
      <c r="A142" t="inlineStr">
        <is>
          <t>2020-01-01</t>
        </is>
      </c>
      <c r="B142" t="n">
        <v>865072.3414418999</v>
      </c>
      <c r="C142" t="n">
        <v>475673.0921162484</v>
      </c>
      <c r="D142" t="n">
        <v>66.54688267711198</v>
      </c>
      <c r="E142" t="n">
        <v>-0.1202634632724665</v>
      </c>
      <c r="F142" t="n">
        <v>0.1096075783045311</v>
      </c>
      <c r="G142" t="n">
        <v>0.6414239765773941</v>
      </c>
      <c r="H142" t="n">
        <v>83.49079121267424</v>
      </c>
      <c r="I142" t="n">
        <v>1367.056841414182</v>
      </c>
      <c r="J142" t="n">
        <v>864.7749775106049</v>
      </c>
      <c r="K142" t="n">
        <v>2.872912727933908</v>
      </c>
      <c r="L142" t="n">
        <v>3.40781991582935</v>
      </c>
      <c r="M142" t="n">
        <v>0.9317980109724431</v>
      </c>
      <c r="N142" t="n">
        <v>0.7718518245561654</v>
      </c>
      <c r="O142" t="n">
        <v>0.7718518245561654</v>
      </c>
      <c r="P142" t="n">
        <v>-0.8921152878286319</v>
      </c>
      <c r="Q142" t="n">
        <v>-0.1304278479787713</v>
      </c>
      <c r="R142" t="n">
        <v>-0.6622442462516342</v>
      </c>
      <c r="S142">
        <f>Q142-P142</f>
        <v/>
      </c>
      <c r="T142">
        <f>Q142-Settings!$B$5</f>
        <v/>
      </c>
      <c r="U142">
        <f>0.5*(P142+T142)</f>
        <v/>
      </c>
      <c r="V142">
        <f>AVERAGE(K123:K142)</f>
        <v/>
      </c>
      <c r="W142">
        <f>AVERAGE(L123:L142)</f>
        <v/>
      </c>
      <c r="X142">
        <f>AVERAGE(P123:P142)</f>
        <v/>
      </c>
      <c r="Y142">
        <f>AVERAGE(T123:T142)</f>
        <v/>
      </c>
      <c r="Z142">
        <f>AVERAGE(U123:U142)</f>
        <v/>
      </c>
      <c r="AA142">
        <f>0.5*V142+0.5*X142</f>
        <v/>
      </c>
      <c r="AB142">
        <f>Settings!$B$3+Settings!$B$4*W142</f>
        <v/>
      </c>
      <c r="AC142">
        <f>Z142</f>
        <v/>
      </c>
      <c r="AD142">
        <f>0.5*V142+0.5*Z142</f>
        <v/>
      </c>
      <c r="AE142">
        <f>(X142+Y142+V142)/3</f>
        <v/>
      </c>
      <c r="AF142">
        <f>0.7*X142+0.3*V142</f>
        <v/>
      </c>
    </row>
    <row r="143">
      <c r="A143" t="inlineStr">
        <is>
          <t>2020-04-01</t>
        </is>
      </c>
      <c r="B143" t="n">
        <v>867132.9336239101</v>
      </c>
      <c r="C143" t="n">
        <v>474918.7307354541</v>
      </c>
      <c r="D143" t="n">
        <v>66.59870504511395</v>
      </c>
      <c r="E143" t="n">
        <v>-0.1968419020310092</v>
      </c>
      <c r="F143" t="n">
        <v>0.0349348101358803</v>
      </c>
      <c r="G143" t="n">
        <v>0.4162608095883326</v>
      </c>
      <c r="H143" t="n">
        <v>83.46149224353314</v>
      </c>
      <c r="I143" t="n">
        <v>1367.294756998859</v>
      </c>
      <c r="J143" t="n">
        <v>864.65136204414</v>
      </c>
      <c r="K143" t="n">
        <v>0.9516623387071377</v>
      </c>
      <c r="L143" t="n">
        <v>-0.4944618658596482</v>
      </c>
      <c r="M143" t="n">
        <v>0.3113726650974513</v>
      </c>
      <c r="N143" t="n">
        <v>0.7340956372009373</v>
      </c>
      <c r="O143" t="n">
        <v>0.7340956372009373</v>
      </c>
      <c r="P143" t="n">
        <v>-0.9309375392319466</v>
      </c>
      <c r="Q143" t="n">
        <v>-0.3178348276126047</v>
      </c>
      <c r="R143" t="n">
        <v>-0.699160827065057</v>
      </c>
      <c r="S143">
        <f>Q143-P143</f>
        <v/>
      </c>
      <c r="T143">
        <f>Q143-Settings!$B$5</f>
        <v/>
      </c>
      <c r="U143">
        <f>0.5*(P143+T143)</f>
        <v/>
      </c>
      <c r="V143">
        <f>AVERAGE(K124:K143)</f>
        <v/>
      </c>
      <c r="W143">
        <f>AVERAGE(L124:L143)</f>
        <v/>
      </c>
      <c r="X143">
        <f>AVERAGE(P124:P143)</f>
        <v/>
      </c>
      <c r="Y143">
        <f>AVERAGE(T124:T143)</f>
        <v/>
      </c>
      <c r="Z143">
        <f>AVERAGE(U124:U143)</f>
        <v/>
      </c>
      <c r="AA143">
        <f>0.5*V143+0.5*X143</f>
        <v/>
      </c>
      <c r="AB143">
        <f>Settings!$B$3+Settings!$B$4*W143</f>
        <v/>
      </c>
      <c r="AC143">
        <f>Z143</f>
        <v/>
      </c>
      <c r="AD143">
        <f>0.5*V143+0.5*Z143</f>
        <v/>
      </c>
      <c r="AE143">
        <f>(X143+Y143+V143)/3</f>
        <v/>
      </c>
      <c r="AF143">
        <f>0.7*X143+0.3*V143</f>
        <v/>
      </c>
    </row>
    <row r="144">
      <c r="A144" t="inlineStr">
        <is>
          <t>2020-07-01</t>
        </is>
      </c>
      <c r="B144" t="n">
        <v>865643.2184469755</v>
      </c>
      <c r="C144" t="n">
        <v>475467.2526367625</v>
      </c>
      <c r="D144" t="n">
        <v>66.71607410248072</v>
      </c>
      <c r="E144" t="n">
        <v>-0.1155241988097972</v>
      </c>
      <c r="F144" t="n">
        <v>0.1152509064767599</v>
      </c>
      <c r="G144" t="n">
        <v>0.3842414031211226</v>
      </c>
      <c r="H144" t="n">
        <v>83.53856706211339</v>
      </c>
      <c r="I144" t="n">
        <v>1367.122811471771</v>
      </c>
      <c r="J144" t="n">
        <v>864.6744883066648</v>
      </c>
      <c r="K144" t="n">
        <v>-0.6877821083517119</v>
      </c>
      <c r="L144" t="n">
        <v>0.09250505009913468</v>
      </c>
      <c r="M144" t="n">
        <v>0.7043125357351983</v>
      </c>
      <c r="N144" t="n">
        <v>0.7821631401334912</v>
      </c>
      <c r="O144" t="n">
        <v>0.7821631401334912</v>
      </c>
      <c r="P144" t="n">
        <v>-0.8976873389432884</v>
      </c>
      <c r="Q144" t="n">
        <v>-0.3979217370123686</v>
      </c>
      <c r="R144" t="n">
        <v>-0.6669122336567312</v>
      </c>
      <c r="S144">
        <f>Q144-P144</f>
        <v/>
      </c>
      <c r="T144">
        <f>Q144-Settings!$B$5</f>
        <v/>
      </c>
      <c r="U144">
        <f>0.5*(P144+T144)</f>
        <v/>
      </c>
      <c r="V144">
        <f>AVERAGE(K125:K144)</f>
        <v/>
      </c>
      <c r="W144">
        <f>AVERAGE(L125:L144)</f>
        <v/>
      </c>
      <c r="X144">
        <f>AVERAGE(P125:P144)</f>
        <v/>
      </c>
      <c r="Y144">
        <f>AVERAGE(T125:T144)</f>
        <v/>
      </c>
      <c r="Z144">
        <f>AVERAGE(U125:U144)</f>
        <v/>
      </c>
      <c r="AA144">
        <f>0.5*V144+0.5*X144</f>
        <v/>
      </c>
      <c r="AB144">
        <f>Settings!$B$3+Settings!$B$4*W144</f>
        <v/>
      </c>
      <c r="AC144">
        <f>Z144</f>
        <v/>
      </c>
      <c r="AD144">
        <f>0.5*V144+0.5*Z144</f>
        <v/>
      </c>
      <c r="AE144">
        <f>(X144+Y144+V144)/3</f>
        <v/>
      </c>
      <c r="AF144">
        <f>0.7*X144+0.3*V144</f>
        <v/>
      </c>
    </row>
    <row r="145">
      <c r="A145" t="inlineStr">
        <is>
          <t>2020-10-01</t>
        </is>
      </c>
      <c r="B145" t="n">
        <v>869768.1445225065</v>
      </c>
      <c r="C145" t="n">
        <v>480866.5809781181</v>
      </c>
      <c r="D145" t="n">
        <v>66.79582684776859</v>
      </c>
      <c r="E145" t="n">
        <v>-0.1143111474920334</v>
      </c>
      <c r="F145" t="n">
        <v>0.0868562487150103</v>
      </c>
      <c r="G145" t="n">
        <v>0.4747161073385375</v>
      </c>
      <c r="H145" t="n">
        <v>83.4200776998846</v>
      </c>
      <c r="I145" t="n">
        <v>1367.598195456434</v>
      </c>
      <c r="J145" t="n">
        <v>865.9456111989224</v>
      </c>
      <c r="K145" t="n">
        <v>1.901535938653979</v>
      </c>
      <c r="L145" t="n">
        <v>5.084491569030433</v>
      </c>
      <c r="M145" t="n">
        <v>0.477876529095056</v>
      </c>
      <c r="N145" t="n">
        <v>0.6063399352250372</v>
      </c>
      <c r="O145" t="n">
        <v>0.6063399352250372</v>
      </c>
      <c r="P145" t="n">
        <v>-0.7206510827170706</v>
      </c>
      <c r="Q145" t="n">
        <v>-0.1316238278864997</v>
      </c>
      <c r="R145" t="n">
        <v>-0.5194836865100269</v>
      </c>
      <c r="S145">
        <f>Q145-P145</f>
        <v/>
      </c>
      <c r="T145">
        <f>Q145-Settings!$B$5</f>
        <v/>
      </c>
      <c r="U145">
        <f>0.5*(P145+T145)</f>
        <v/>
      </c>
      <c r="V145">
        <f>AVERAGE(K126:K145)</f>
        <v/>
      </c>
      <c r="W145">
        <f>AVERAGE(L126:L145)</f>
        <v/>
      </c>
      <c r="X145">
        <f>AVERAGE(P126:P145)</f>
        <v/>
      </c>
      <c r="Y145">
        <f>AVERAGE(T126:T145)</f>
        <v/>
      </c>
      <c r="Z145">
        <f>AVERAGE(U126:U145)</f>
        <v/>
      </c>
      <c r="AA145">
        <f>0.5*V145+0.5*X145</f>
        <v/>
      </c>
      <c r="AB145">
        <f>Settings!$B$3+Settings!$B$4*W145</f>
        <v/>
      </c>
      <c r="AC145">
        <f>Z145</f>
        <v/>
      </c>
      <c r="AD145">
        <f>0.5*V145+0.5*Z145</f>
        <v/>
      </c>
      <c r="AE145">
        <f>(X145+Y145+V145)/3</f>
        <v/>
      </c>
      <c r="AF145">
        <f>0.7*X145+0.3*V145</f>
        <v/>
      </c>
    </row>
    <row r="146">
      <c r="A146" t="inlineStr">
        <is>
          <t>2021-01-01</t>
        </is>
      </c>
      <c r="B146" t="n">
        <v>870427.7168303883</v>
      </c>
      <c r="C146" t="n">
        <v>479852.2958613886</v>
      </c>
      <c r="D146" t="n">
        <v>66.88183016931174</v>
      </c>
      <c r="E146" t="n">
        <v>-0.1094961920511128</v>
      </c>
      <c r="F146" t="n">
        <v>0.06515244810981261</v>
      </c>
      <c r="G146" t="n">
        <v>0.486942734329878</v>
      </c>
      <c r="H146" t="n">
        <v>83.38780519449114</v>
      </c>
      <c r="I146" t="n">
        <v>1367.673999836172</v>
      </c>
      <c r="J146" t="n">
        <v>865.7731540590197</v>
      </c>
      <c r="K146" t="n">
        <v>0.3032175189528061</v>
      </c>
      <c r="L146" t="n">
        <v>-0.6898285596107598</v>
      </c>
      <c r="M146" t="n">
        <v>0.5146908485878612</v>
      </c>
      <c r="N146" t="n">
        <v>0.5020631446288917</v>
      </c>
      <c r="O146" t="n">
        <v>0.5020631446288917</v>
      </c>
      <c r="P146" t="n">
        <v>-0.6115593366800045</v>
      </c>
      <c r="Q146" t="n">
        <v>-0.01512041029901368</v>
      </c>
      <c r="R146" t="n">
        <v>-0.4369106965190791</v>
      </c>
      <c r="S146">
        <f>Q146-P146</f>
        <v/>
      </c>
      <c r="T146">
        <f>Q146-Settings!$B$5</f>
        <v/>
      </c>
      <c r="U146">
        <f>0.5*(P146+T146)</f>
        <v/>
      </c>
      <c r="V146">
        <f>AVERAGE(K127:K146)</f>
        <v/>
      </c>
      <c r="W146">
        <f>AVERAGE(L127:L146)</f>
        <v/>
      </c>
      <c r="X146">
        <f>AVERAGE(P127:P146)</f>
        <v/>
      </c>
      <c r="Y146">
        <f>AVERAGE(T127:T146)</f>
        <v/>
      </c>
      <c r="Z146">
        <f>AVERAGE(U127:U146)</f>
        <v/>
      </c>
      <c r="AA146">
        <f>0.5*V146+0.5*X146</f>
        <v/>
      </c>
      <c r="AB146">
        <f>Settings!$B$3+Settings!$B$4*W146</f>
        <v/>
      </c>
      <c r="AC146">
        <f>Z146</f>
        <v/>
      </c>
      <c r="AD146">
        <f>0.5*V146+0.5*Z146</f>
        <v/>
      </c>
      <c r="AE146">
        <f>(X146+Y146+V146)/3</f>
        <v/>
      </c>
      <c r="AF146">
        <f>0.7*X146+0.3*V146</f>
        <v/>
      </c>
    </row>
    <row r="147">
      <c r="A147" t="inlineStr">
        <is>
          <t>2021-04-01</t>
        </is>
      </c>
      <c r="B147" t="n">
        <v>871470.4241902297</v>
      </c>
      <c r="C147" t="n">
        <v>482641.5151278681</v>
      </c>
      <c r="D147" t="n">
        <v>66.99153898502246</v>
      </c>
      <c r="E147" t="n">
        <v>-0.1556694020960924</v>
      </c>
      <c r="F147" t="n">
        <v>0.0118196330831657</v>
      </c>
      <c r="G147" t="n">
        <v>0.307856432683751</v>
      </c>
      <c r="H147" t="n">
        <v>83.2701274521195</v>
      </c>
      <c r="I147" t="n">
        <v>1367.793720669421</v>
      </c>
      <c r="J147" t="n">
        <v>866.4939581524992</v>
      </c>
      <c r="K147" t="n">
        <v>0.4788833329939735</v>
      </c>
      <c r="L147" t="n">
        <v>2.883216373918003</v>
      </c>
      <c r="M147" t="n">
        <v>0.6555976948245643</v>
      </c>
      <c r="N147" t="n">
        <v>0.5881194020606699</v>
      </c>
      <c r="O147" t="n">
        <v>0.5881194020606699</v>
      </c>
      <c r="P147" t="n">
        <v>-0.7437888041567623</v>
      </c>
      <c r="Q147" t="n">
        <v>-0.2802629693769189</v>
      </c>
      <c r="R147" t="n">
        <v>-0.5762997689775042</v>
      </c>
      <c r="S147">
        <f>Q147-P147</f>
        <v/>
      </c>
      <c r="T147">
        <f>Q147-Settings!$B$5</f>
        <v/>
      </c>
      <c r="U147">
        <f>0.5*(P147+T147)</f>
        <v/>
      </c>
      <c r="V147">
        <f>AVERAGE(K128:K147)</f>
        <v/>
      </c>
      <c r="W147">
        <f>AVERAGE(L128:L147)</f>
        <v/>
      </c>
      <c r="X147">
        <f>AVERAGE(P128:P147)</f>
        <v/>
      </c>
      <c r="Y147">
        <f>AVERAGE(T128:T147)</f>
        <v/>
      </c>
      <c r="Z147">
        <f>AVERAGE(U128:U147)</f>
        <v/>
      </c>
      <c r="AA147">
        <f>0.5*V147+0.5*X147</f>
        <v/>
      </c>
      <c r="AB147">
        <f>Settings!$B$3+Settings!$B$4*W147</f>
        <v/>
      </c>
      <c r="AC147">
        <f>Z147</f>
        <v/>
      </c>
      <c r="AD147">
        <f>0.5*V147+0.5*Z147</f>
        <v/>
      </c>
      <c r="AE147">
        <f>(X147+Y147+V147)/3</f>
        <v/>
      </c>
      <c r="AF147">
        <f>0.7*X147+0.3*V147</f>
        <v/>
      </c>
    </row>
    <row r="148">
      <c r="A148" t="inlineStr">
        <is>
          <t>2021-07-01</t>
        </is>
      </c>
      <c r="B148" t="n">
        <v>871367.3927204109</v>
      </c>
      <c r="C148" t="n">
        <v>481514.4977637589</v>
      </c>
      <c r="D148" t="n">
        <v>67.12326505057227</v>
      </c>
      <c r="E148" t="n">
        <v>-0.07102194287617609</v>
      </c>
      <c r="F148" t="n">
        <v>0.1393162042663346</v>
      </c>
      <c r="G148" t="n">
        <v>0.5033948499897415</v>
      </c>
      <c r="H148" t="n">
        <v>83.30528963240101</v>
      </c>
      <c r="I148" t="n">
        <v>1367.78189725488</v>
      </c>
      <c r="J148" t="n">
        <v>866.2179571203185</v>
      </c>
      <c r="K148" t="n">
        <v>-0.04729365816456266</v>
      </c>
      <c r="L148" t="n">
        <v>-1.104004128722863</v>
      </c>
      <c r="M148" t="n">
        <v>0.7857513350927547</v>
      </c>
      <c r="N148" t="n">
        <v>0.608479101900059</v>
      </c>
      <c r="O148" t="n">
        <v>0.608479101900059</v>
      </c>
      <c r="P148" t="n">
        <v>-0.6795010447762352</v>
      </c>
      <c r="Q148" t="n">
        <v>-0.1050842519103176</v>
      </c>
      <c r="R148" t="n">
        <v>-0.4691628976337244</v>
      </c>
      <c r="S148">
        <f>Q148-P148</f>
        <v/>
      </c>
      <c r="T148">
        <f>Q148-Settings!$B$5</f>
        <v/>
      </c>
      <c r="U148">
        <f>0.5*(P148+T148)</f>
        <v/>
      </c>
      <c r="V148">
        <f>AVERAGE(K129:K148)</f>
        <v/>
      </c>
      <c r="W148">
        <f>AVERAGE(L129:L148)</f>
        <v/>
      </c>
      <c r="X148">
        <f>AVERAGE(P129:P148)</f>
        <v/>
      </c>
      <c r="Y148">
        <f>AVERAGE(T129:T148)</f>
        <v/>
      </c>
      <c r="Z148">
        <f>AVERAGE(U129:U148)</f>
        <v/>
      </c>
      <c r="AA148">
        <f>0.5*V148+0.5*X148</f>
        <v/>
      </c>
      <c r="AB148">
        <f>Settings!$B$3+Settings!$B$4*W148</f>
        <v/>
      </c>
      <c r="AC148">
        <f>Z148</f>
        <v/>
      </c>
      <c r="AD148">
        <f>0.5*V148+0.5*Z148</f>
        <v/>
      </c>
      <c r="AE148">
        <f>(X148+Y148+V148)/3</f>
        <v/>
      </c>
      <c r="AF148">
        <f>0.7*X148+0.3*V148</f>
        <v/>
      </c>
    </row>
    <row r="149">
      <c r="A149" t="inlineStr">
        <is>
          <t>2021-10-01</t>
        </is>
      </c>
      <c r="B149" t="n">
        <v>871912.9123087308</v>
      </c>
      <c r="C149" t="n">
        <v>480395.1016120595</v>
      </c>
      <c r="D149" t="n">
        <v>67.20692293477724</v>
      </c>
      <c r="E149" t="n">
        <v>-0.0737746312356956</v>
      </c>
      <c r="F149" t="n">
        <v>0.1376037697952592</v>
      </c>
      <c r="G149" t="n">
        <v>0.4520061593645605</v>
      </c>
      <c r="H149" t="n">
        <v>83.31184632877718</v>
      </c>
      <c r="I149" t="n">
        <v>1367.844482669807</v>
      </c>
      <c r="J149" t="n">
        <v>865.9773420766201</v>
      </c>
      <c r="K149" t="n">
        <v>0.2503416597101022</v>
      </c>
      <c r="L149" t="n">
        <v>-0.9624601747937049</v>
      </c>
      <c r="M149" t="n">
        <v>0.4982224548346039</v>
      </c>
      <c r="N149" t="n">
        <v>0.613565583334946</v>
      </c>
      <c r="O149" t="n">
        <v>0.613565583334946</v>
      </c>
      <c r="P149" t="n">
        <v>-0.6873402145706416</v>
      </c>
      <c r="Q149" t="n">
        <v>-0.1615594239703855</v>
      </c>
      <c r="R149" t="n">
        <v>-0.4759618135396868</v>
      </c>
      <c r="S149">
        <f>Q149-P149</f>
        <v/>
      </c>
      <c r="T149">
        <f>Q149-Settings!$B$5</f>
        <v/>
      </c>
      <c r="U149">
        <f>0.5*(P149+T149)</f>
        <v/>
      </c>
      <c r="V149">
        <f>AVERAGE(K130:K149)</f>
        <v/>
      </c>
      <c r="W149">
        <f>AVERAGE(L130:L149)</f>
        <v/>
      </c>
      <c r="X149">
        <f>AVERAGE(P130:P149)</f>
        <v/>
      </c>
      <c r="Y149">
        <f>AVERAGE(T130:T149)</f>
        <v/>
      </c>
      <c r="Z149">
        <f>AVERAGE(U130:U149)</f>
        <v/>
      </c>
      <c r="AA149">
        <f>0.5*V149+0.5*X149</f>
        <v/>
      </c>
      <c r="AB149">
        <f>Settings!$B$3+Settings!$B$4*W149</f>
        <v/>
      </c>
      <c r="AC149">
        <f>Z149</f>
        <v/>
      </c>
      <c r="AD149">
        <f>0.5*V149+0.5*Z149</f>
        <v/>
      </c>
      <c r="AE149">
        <f>(X149+Y149+V149)/3</f>
        <v/>
      </c>
      <c r="AF149">
        <f>0.7*X149+0.3*V149</f>
        <v/>
      </c>
    </row>
    <row r="150">
      <c r="A150" t="inlineStr">
        <is>
          <t>2022-01-01</t>
        </is>
      </c>
      <c r="B150" t="n">
        <v>875107.0241569612</v>
      </c>
      <c r="C150" t="n">
        <v>484678.0856078926</v>
      </c>
      <c r="D150" t="n">
        <v>67.69918562920903</v>
      </c>
      <c r="E150" t="n">
        <v>-0.1747202809909653</v>
      </c>
      <c r="F150" t="n">
        <v>0.0638996523571866</v>
      </c>
      <c r="G150" t="n">
        <v>0.5177154947277781</v>
      </c>
      <c r="H150" t="n">
        <v>83.26570736619117</v>
      </c>
      <c r="I150" t="n">
        <v>1368.210147118233</v>
      </c>
      <c r="J150" t="n">
        <v>866.9203420396741</v>
      </c>
      <c r="K150" t="n">
        <v>1.46265779370151</v>
      </c>
      <c r="L150" t="n">
        <v>3.77199985221614</v>
      </c>
      <c r="M150" t="n">
        <v>2.919155459820331</v>
      </c>
      <c r="N150" t="n">
        <v>1.214681736143064</v>
      </c>
      <c r="O150" t="n">
        <v>1.214681736143064</v>
      </c>
      <c r="P150" t="n">
        <v>-1.389402017134029</v>
      </c>
      <c r="Q150" t="n">
        <v>-0.6969662414152854</v>
      </c>
      <c r="R150" t="n">
        <v>-1.150782083785877</v>
      </c>
      <c r="S150">
        <f>Q150-P150</f>
        <v/>
      </c>
      <c r="T150">
        <f>Q150-Settings!$B$5</f>
        <v/>
      </c>
      <c r="U150">
        <f>0.5*(P150+T150)</f>
        <v/>
      </c>
      <c r="V150">
        <f>AVERAGE(K131:K150)</f>
        <v/>
      </c>
      <c r="W150">
        <f>AVERAGE(L131:L150)</f>
        <v/>
      </c>
      <c r="X150">
        <f>AVERAGE(P131:P150)</f>
        <v/>
      </c>
      <c r="Y150">
        <f>AVERAGE(T131:T150)</f>
        <v/>
      </c>
      <c r="Z150">
        <f>AVERAGE(U131:U150)</f>
        <v/>
      </c>
      <c r="AA150">
        <f>0.5*V150+0.5*X150</f>
        <v/>
      </c>
      <c r="AB150">
        <f>Settings!$B$3+Settings!$B$4*W150</f>
        <v/>
      </c>
      <c r="AC150">
        <f>Z150</f>
        <v/>
      </c>
      <c r="AD150">
        <f>0.5*V150+0.5*Z150</f>
        <v/>
      </c>
      <c r="AE150">
        <f>(X150+Y150+V150)/3</f>
        <v/>
      </c>
      <c r="AF150">
        <f>0.7*X150+0.3*V150</f>
        <v/>
      </c>
    </row>
    <row r="151">
      <c r="A151" t="inlineStr">
        <is>
          <t>2022-04-01</t>
        </is>
      </c>
      <c r="B151" t="n">
        <v>875494.3168197226</v>
      </c>
      <c r="C151" t="n">
        <v>482368.156291761</v>
      </c>
      <c r="D151" t="n">
        <v>68.08232924730312</v>
      </c>
      <c r="E151" t="n">
        <v>-0.06504016341525561</v>
      </c>
      <c r="F151" t="n">
        <v>0.1679592260950069</v>
      </c>
      <c r="G151" t="n">
        <v>0.5384210240032699</v>
      </c>
      <c r="H151" t="n">
        <v>83.3440853796689</v>
      </c>
      <c r="I151" t="n">
        <v>1368.254393933315</v>
      </c>
      <c r="J151" t="n">
        <v>866.3485265785267</v>
      </c>
      <c r="K151" t="n">
        <v>0.1769872603272233</v>
      </c>
      <c r="L151" t="n">
        <v>-2.287261844589466</v>
      </c>
      <c r="M151" t="n">
        <v>2.257418532157317</v>
      </c>
      <c r="N151" t="n">
        <v>1.615136945476252</v>
      </c>
      <c r="O151" t="n">
        <v>1.615136945476252</v>
      </c>
      <c r="P151" t="n">
        <v>-1.680177108891507</v>
      </c>
      <c r="Q151" t="n">
        <v>-1.076715921472982</v>
      </c>
      <c r="R151" t="n">
        <v>-1.447177719381245</v>
      </c>
      <c r="S151">
        <f>Q151-P151</f>
        <v/>
      </c>
      <c r="T151">
        <f>Q151-Settings!$B$5</f>
        <v/>
      </c>
      <c r="U151">
        <f>0.5*(P151+T151)</f>
        <v/>
      </c>
      <c r="V151">
        <f>AVERAGE(K132:K151)</f>
        <v/>
      </c>
      <c r="W151">
        <f>AVERAGE(L132:L151)</f>
        <v/>
      </c>
      <c r="X151">
        <f>AVERAGE(P132:P151)</f>
        <v/>
      </c>
      <c r="Y151">
        <f>AVERAGE(T132:T151)</f>
        <v/>
      </c>
      <c r="Z151">
        <f>AVERAGE(U132:U151)</f>
        <v/>
      </c>
      <c r="AA151">
        <f>0.5*V151+0.5*X151</f>
        <v/>
      </c>
      <c r="AB151">
        <f>Settings!$B$3+Settings!$B$4*W151</f>
        <v/>
      </c>
      <c r="AC151">
        <f>Z151</f>
        <v/>
      </c>
      <c r="AD151">
        <f>0.5*V151+0.5*Z151</f>
        <v/>
      </c>
      <c r="AE151">
        <f>(X151+Y151+V151)/3</f>
        <v/>
      </c>
      <c r="AF151">
        <f>0.7*X151+0.3*V151</f>
        <v/>
      </c>
    </row>
    <row r="152">
      <c r="A152" t="inlineStr">
        <is>
          <t>2022-07-01</t>
        </is>
      </c>
      <c r="B152" t="n">
        <v>874731.3038468952</v>
      </c>
      <c r="C152" t="n">
        <v>482698.2464341064</v>
      </c>
      <c r="D152" t="n">
        <v>68.52663154303993</v>
      </c>
      <c r="E152" t="n">
        <v>0.0026342490972945</v>
      </c>
      <c r="F152" t="n">
        <v>0.1986673894013594</v>
      </c>
      <c r="G152" t="n">
        <v>0.5743546741825376</v>
      </c>
      <c r="H152" t="n">
        <v>83.2417531112302</v>
      </c>
      <c r="I152" t="n">
        <v>1368.167203686279</v>
      </c>
      <c r="J152" t="n">
        <v>866.539792658771</v>
      </c>
      <c r="K152" t="n">
        <v>-0.3487609881403841</v>
      </c>
      <c r="L152" t="n">
        <v>0.765064320977217</v>
      </c>
      <c r="M152" t="n">
        <v>2.601901718708632</v>
      </c>
      <c r="N152" t="n">
        <v>2.069174541380221</v>
      </c>
      <c r="O152" t="n">
        <v>2.069174541380221</v>
      </c>
      <c r="P152" t="n">
        <v>-2.066540292282927</v>
      </c>
      <c r="Q152" t="n">
        <v>-1.494819867197683</v>
      </c>
      <c r="R152" t="n">
        <v>-1.870507151978862</v>
      </c>
      <c r="S152">
        <f>Q152-P152</f>
        <v/>
      </c>
      <c r="T152">
        <f>Q152-Settings!$B$5</f>
        <v/>
      </c>
      <c r="U152">
        <f>0.5*(P152+T152)</f>
        <v/>
      </c>
      <c r="V152">
        <f>AVERAGE(K133:K152)</f>
        <v/>
      </c>
      <c r="W152">
        <f>AVERAGE(L133:L152)</f>
        <v/>
      </c>
      <c r="X152">
        <f>AVERAGE(P133:P152)</f>
        <v/>
      </c>
      <c r="Y152">
        <f>AVERAGE(T133:T152)</f>
        <v/>
      </c>
      <c r="Z152">
        <f>AVERAGE(U133:U152)</f>
        <v/>
      </c>
      <c r="AA152">
        <f>0.5*V152+0.5*X152</f>
        <v/>
      </c>
      <c r="AB152">
        <f>Settings!$B$3+Settings!$B$4*W152</f>
        <v/>
      </c>
      <c r="AC152">
        <f>Z152</f>
        <v/>
      </c>
      <c r="AD152">
        <f>0.5*V152+0.5*Z152</f>
        <v/>
      </c>
      <c r="AE152">
        <f>(X152+Y152+V152)/3</f>
        <v/>
      </c>
      <c r="AF152">
        <f>0.7*X152+0.3*V152</f>
        <v/>
      </c>
    </row>
    <row r="153">
      <c r="A153" t="inlineStr">
        <is>
          <t>2022-10-01</t>
        </is>
      </c>
      <c r="B153" t="n">
        <v>871468.6167845165</v>
      </c>
      <c r="C153" t="n">
        <v>478739.4813426512</v>
      </c>
      <c r="D153" t="n">
        <v>69.10801439829433</v>
      </c>
      <c r="E153" t="n">
        <v>-0.09140198337814701</v>
      </c>
      <c r="F153" t="n">
        <v>0.0712718402560269</v>
      </c>
      <c r="G153" t="n">
        <v>0.4979798235595953</v>
      </c>
      <c r="H153" t="n">
        <v>83.28942221246591</v>
      </c>
      <c r="I153" t="n">
        <v>1367.793513271954</v>
      </c>
      <c r="J153" t="n">
        <v>865.6590291284271</v>
      </c>
      <c r="K153" t="n">
        <v>-1.494761657302661</v>
      </c>
      <c r="L153" t="n">
        <v>-3.523054121375935</v>
      </c>
      <c r="M153" t="n">
        <v>3.379302117979023</v>
      </c>
      <c r="N153" t="n">
        <v>2.789444457166326</v>
      </c>
      <c r="O153" t="n">
        <v>2.789444457166326</v>
      </c>
      <c r="P153" t="n">
        <v>-2.880846440544473</v>
      </c>
      <c r="Q153" t="n">
        <v>-2.291464633606731</v>
      </c>
      <c r="R153" t="n">
        <v>-2.718172616910299</v>
      </c>
      <c r="S153">
        <f>Q153-P153</f>
        <v/>
      </c>
      <c r="T153">
        <f>Q153-Settings!$B$5</f>
        <v/>
      </c>
      <c r="U153">
        <f>0.5*(P153+T153)</f>
        <v/>
      </c>
      <c r="V153">
        <f>AVERAGE(K134:K153)</f>
        <v/>
      </c>
      <c r="W153">
        <f>AVERAGE(L134:L153)</f>
        <v/>
      </c>
      <c r="X153">
        <f>AVERAGE(P134:P153)</f>
        <v/>
      </c>
      <c r="Y153">
        <f>AVERAGE(T134:T153)</f>
        <v/>
      </c>
      <c r="Z153">
        <f>AVERAGE(U134:U153)</f>
        <v/>
      </c>
      <c r="AA153">
        <f>0.5*V153+0.5*X153</f>
        <v/>
      </c>
      <c r="AB153">
        <f>Settings!$B$3+Settings!$B$4*W153</f>
        <v/>
      </c>
      <c r="AC153">
        <f>Z153</f>
        <v/>
      </c>
      <c r="AD153">
        <f>0.5*V153+0.5*Z153</f>
        <v/>
      </c>
      <c r="AE153">
        <f>(X153+Y153+V153)/3</f>
        <v/>
      </c>
      <c r="AF153">
        <f>0.7*X153+0.3*V153</f>
        <v/>
      </c>
    </row>
    <row r="154">
      <c r="A154" t="inlineStr">
        <is>
          <t>2023-01-01</t>
        </is>
      </c>
      <c r="B154" t="n">
        <v>866475.202403712</v>
      </c>
      <c r="C154" t="n">
        <v>476688.2308649516</v>
      </c>
      <c r="D154" t="n">
        <v>69.5703183898344</v>
      </c>
      <c r="E154" t="n">
        <v>-0.1168662581034253</v>
      </c>
      <c r="F154" t="n">
        <v>0.0735605439862477</v>
      </c>
      <c r="G154" t="n">
        <v>0.5054459437371913</v>
      </c>
      <c r="H154" t="n">
        <v>83.20308523170252</v>
      </c>
      <c r="I154" t="n">
        <v>1367.218876961371</v>
      </c>
      <c r="J154" t="n">
        <v>865.3333522870076</v>
      </c>
      <c r="K154" t="n">
        <v>-2.298545242332693</v>
      </c>
      <c r="L154" t="n">
        <v>-1.302707365677634</v>
      </c>
      <c r="M154" t="n">
        <v>2.666923922787419</v>
      </c>
      <c r="N154" t="n">
        <v>2.726386572908098</v>
      </c>
      <c r="O154" t="n">
        <v>2.726386572908098</v>
      </c>
      <c r="P154" t="n">
        <v>-2.843252831011523</v>
      </c>
      <c r="Q154" t="n">
        <v>-2.220940629170906</v>
      </c>
      <c r="R154" t="n">
        <v>-2.65282602892185</v>
      </c>
      <c r="S154">
        <f>Q154-P154</f>
        <v/>
      </c>
      <c r="T154">
        <f>Q154-Settings!$B$5</f>
        <v/>
      </c>
      <c r="U154">
        <f>0.5*(P154+T154)</f>
        <v/>
      </c>
      <c r="V154">
        <f>AVERAGE(K135:K154)</f>
        <v/>
      </c>
      <c r="W154">
        <f>AVERAGE(L135:L154)</f>
        <v/>
      </c>
      <c r="X154">
        <f>AVERAGE(P135:P154)</f>
        <v/>
      </c>
      <c r="Y154">
        <f>AVERAGE(T135:T154)</f>
        <v/>
      </c>
      <c r="Z154">
        <f>AVERAGE(U135:U154)</f>
        <v/>
      </c>
      <c r="AA154">
        <f>0.5*V154+0.5*X154</f>
        <v/>
      </c>
      <c r="AB154">
        <f>Settings!$B$3+Settings!$B$4*W154</f>
        <v/>
      </c>
      <c r="AC154">
        <f>Z154</f>
        <v/>
      </c>
      <c r="AD154">
        <f>0.5*V154+0.5*Z154</f>
        <v/>
      </c>
      <c r="AE154">
        <f>(X154+Y154+V154)/3</f>
        <v/>
      </c>
      <c r="AF154">
        <f>0.7*X154+0.3*V154</f>
        <v/>
      </c>
    </row>
    <row r="155">
      <c r="A155" t="inlineStr">
        <is>
          <t>2023-04-01</t>
        </is>
      </c>
      <c r="B155" t="n">
        <v>864632.2060576634</v>
      </c>
      <c r="C155" t="n">
        <v>474222.9288458301</v>
      </c>
      <c r="D155" t="n">
        <v>70.09930834800296</v>
      </c>
      <c r="E155" t="n">
        <v>-0.107100160720376</v>
      </c>
      <c r="F155" t="n">
        <v>0.09941677512393959</v>
      </c>
      <c r="G155" t="n">
        <v>0.5545812592486019</v>
      </c>
      <c r="H155" t="n">
        <v>83.17686139182108</v>
      </c>
      <c r="I155" t="n">
        <v>1367.00595001838</v>
      </c>
      <c r="J155" t="n">
        <v>864.8463603258474</v>
      </c>
      <c r="K155" t="n">
        <v>-0.8517077719625377</v>
      </c>
      <c r="L155" t="n">
        <v>-1.947967844640971</v>
      </c>
      <c r="M155" t="n">
        <v>3.029964351981789</v>
      </c>
      <c r="N155" t="n">
        <v>2.919523027864216</v>
      </c>
      <c r="O155" t="n">
        <v>2.919523027864216</v>
      </c>
      <c r="P155" t="n">
        <v>-3.026623188584592</v>
      </c>
      <c r="Q155" t="n">
        <v>-2.364941768615614</v>
      </c>
      <c r="R155" t="n">
        <v>-2.820106252740276</v>
      </c>
      <c r="S155">
        <f>Q155-P155</f>
        <v/>
      </c>
      <c r="T155">
        <f>Q155-Settings!$B$5</f>
        <v/>
      </c>
      <c r="U155">
        <f>0.5*(P155+T155)</f>
        <v/>
      </c>
      <c r="V155">
        <f>AVERAGE(K136:K155)</f>
        <v/>
      </c>
      <c r="W155">
        <f>AVERAGE(L136:L155)</f>
        <v/>
      </c>
      <c r="X155">
        <f>AVERAGE(P136:P155)</f>
        <v/>
      </c>
      <c r="Y155">
        <f>AVERAGE(T136:T155)</f>
        <v/>
      </c>
      <c r="Z155">
        <f>AVERAGE(U136:U155)</f>
        <v/>
      </c>
      <c r="AA155">
        <f>0.5*V155+0.5*X155</f>
        <v/>
      </c>
      <c r="AB155">
        <f>Settings!$B$3+Settings!$B$4*W155</f>
        <v/>
      </c>
      <c r="AC155">
        <f>Z155</f>
        <v/>
      </c>
      <c r="AD155">
        <f>0.5*V155+0.5*Z155</f>
        <v/>
      </c>
      <c r="AE155">
        <f>(X155+Y155+V155)/3</f>
        <v/>
      </c>
      <c r="AF155">
        <f>0.7*X155+0.3*V155</f>
        <v/>
      </c>
    </row>
    <row r="156">
      <c r="A156" t="inlineStr">
        <is>
          <t>2023-07-01</t>
        </is>
      </c>
      <c r="B156" t="n">
        <v>864080.6114461879</v>
      </c>
      <c r="C156" t="n">
        <v>477129.2410179644</v>
      </c>
      <c r="D156" t="n">
        <v>70.56128108342105</v>
      </c>
      <c r="E156" t="n">
        <v>-0.0692371616515719</v>
      </c>
      <c r="F156" t="n">
        <v>0.1247003409867459</v>
      </c>
      <c r="G156" t="n">
        <v>0.4307916154814899</v>
      </c>
      <c r="H156" t="n">
        <v>83.14556017761439</v>
      </c>
      <c r="I156" t="n">
        <v>1366.942134371893</v>
      </c>
      <c r="J156" t="n">
        <v>865.4949869826706</v>
      </c>
      <c r="K156" t="n">
        <v>-0.2552625859470936</v>
      </c>
      <c r="L156" t="n">
        <v>2.594506627292958</v>
      </c>
      <c r="M156" t="n">
        <v>2.627456053452079</v>
      </c>
      <c r="N156" t="n">
        <v>2.925911611550077</v>
      </c>
      <c r="O156" t="n">
        <v>2.925911611550077</v>
      </c>
      <c r="P156" t="n">
        <v>-2.995148773201649</v>
      </c>
      <c r="Q156" t="n">
        <v>-2.495119996068587</v>
      </c>
      <c r="R156" t="n">
        <v>-2.801211270563332</v>
      </c>
      <c r="S156">
        <f>Q156-P156</f>
        <v/>
      </c>
      <c r="T156">
        <f>Q156-Settings!$B$5</f>
        <v/>
      </c>
      <c r="U156">
        <f>0.5*(P156+T156)</f>
        <v/>
      </c>
      <c r="V156">
        <f>AVERAGE(K137:K156)</f>
        <v/>
      </c>
      <c r="W156">
        <f>AVERAGE(L137:L156)</f>
        <v/>
      </c>
      <c r="X156">
        <f>AVERAGE(P137:P156)</f>
        <v/>
      </c>
      <c r="Y156">
        <f>AVERAGE(T137:T156)</f>
        <v/>
      </c>
      <c r="Z156">
        <f>AVERAGE(U137:U156)</f>
        <v/>
      </c>
      <c r="AA156">
        <f>0.5*V156+0.5*X156</f>
        <v/>
      </c>
      <c r="AB156">
        <f>Settings!$B$3+Settings!$B$4*W156</f>
        <v/>
      </c>
      <c r="AC156">
        <f>Z156</f>
        <v/>
      </c>
      <c r="AD156">
        <f>0.5*V156+0.5*Z156</f>
        <v/>
      </c>
      <c r="AE156">
        <f>(X156+Y156+V156)/3</f>
        <v/>
      </c>
      <c r="AF156">
        <f>0.7*X156+0.3*V156</f>
        <v/>
      </c>
    </row>
    <row r="157">
      <c r="A157" t="inlineStr">
        <is>
          <t>2023-10-01</t>
        </is>
      </c>
      <c r="B157" t="n">
        <v>868545.4775190315</v>
      </c>
      <c r="C157" t="n">
        <v>475453.8075941143</v>
      </c>
      <c r="D157" t="n">
        <v>71.05236570286758</v>
      </c>
      <c r="E157" t="n">
        <v>-0.1865335802753609</v>
      </c>
      <c r="F157" t="n">
        <v>-0.0038704035176905</v>
      </c>
      <c r="G157" t="n">
        <v>0.3093076564625118</v>
      </c>
      <c r="H157" t="n">
        <v>83.12518981258107</v>
      </c>
      <c r="I157" t="n">
        <v>1367.457522658431</v>
      </c>
      <c r="J157" t="n">
        <v>865.1677228903193</v>
      </c>
      <c r="K157" t="n">
        <v>2.06155314614989</v>
      </c>
      <c r="L157" t="n">
        <v>-1.309056369405425</v>
      </c>
      <c r="M157" t="n">
        <v>2.774233128599008</v>
      </c>
      <c r="N157" t="n">
        <v>2.774644364205074</v>
      </c>
      <c r="O157" t="n">
        <v>2.774644364205074</v>
      </c>
      <c r="P157" t="n">
        <v>-2.961177944480434</v>
      </c>
      <c r="Q157" t="n">
        <v>-2.465336707742562</v>
      </c>
      <c r="R157" t="n">
        <v>-2.778514767722764</v>
      </c>
      <c r="S157">
        <f>Q157-P157</f>
        <v/>
      </c>
      <c r="T157">
        <f>Q157-Settings!$B$5</f>
        <v/>
      </c>
      <c r="U157">
        <f>0.5*(P157+T157)</f>
        <v/>
      </c>
      <c r="V157">
        <f>AVERAGE(K138:K157)</f>
        <v/>
      </c>
      <c r="W157">
        <f>AVERAGE(L138:L157)</f>
        <v/>
      </c>
      <c r="X157">
        <f>AVERAGE(P138:P157)</f>
        <v/>
      </c>
      <c r="Y157">
        <f>AVERAGE(T138:T157)</f>
        <v/>
      </c>
      <c r="Z157">
        <f>AVERAGE(U138:U157)</f>
        <v/>
      </c>
      <c r="AA157">
        <f>0.5*V157+0.5*X157</f>
        <v/>
      </c>
      <c r="AB157">
        <f>Settings!$B$3+Settings!$B$4*W157</f>
        <v/>
      </c>
      <c r="AC157">
        <f>Z157</f>
        <v/>
      </c>
      <c r="AD157">
        <f>0.5*V157+0.5*Z157</f>
        <v/>
      </c>
      <c r="AE157">
        <f>(X157+Y157+V157)/3</f>
        <v/>
      </c>
      <c r="AF157">
        <f>0.7*X157+0.3*V157</f>
        <v/>
      </c>
    </row>
    <row r="158">
      <c r="A158" t="inlineStr">
        <is>
          <t>2024-01-01</t>
        </is>
      </c>
      <c r="B158" t="n">
        <v>869143.1241308209</v>
      </c>
      <c r="C158" t="n">
        <v>479527.0051454048</v>
      </c>
      <c r="D158" t="n">
        <v>71.51266471557101</v>
      </c>
      <c r="E158" t="n">
        <v>0.2582195351488651</v>
      </c>
      <c r="F158" t="n">
        <v>0.465806079597962</v>
      </c>
      <c r="G158" t="n">
        <v>1.368687456689119</v>
      </c>
      <c r="H158" t="n">
        <v>83.18593975015249</v>
      </c>
      <c r="I158" t="n">
        <v>1367.526309049132</v>
      </c>
      <c r="J158" t="n">
        <v>865.9477150946792</v>
      </c>
      <c r="K158" t="n">
        <v>0.2751455628058466</v>
      </c>
      <c r="L158" t="n">
        <v>3.119968817439712</v>
      </c>
      <c r="M158" t="n">
        <v>2.582965041681973</v>
      </c>
      <c r="N158" t="n">
        <v>2.753654643928712</v>
      </c>
      <c r="O158" t="n">
        <v>2.753654643928712</v>
      </c>
      <c r="P158" t="n">
        <v>-2.495435108779847</v>
      </c>
      <c r="Q158" t="n">
        <v>-1.384967187239594</v>
      </c>
      <c r="R158" t="n">
        <v>-2.28784856433075</v>
      </c>
      <c r="S158">
        <f>Q158-P158</f>
        <v/>
      </c>
      <c r="T158">
        <f>Q158-Settings!$B$5</f>
        <v/>
      </c>
      <c r="U158">
        <f>0.5*(P158+T158)</f>
        <v/>
      </c>
      <c r="V158">
        <f>AVERAGE(K139:K158)</f>
        <v/>
      </c>
      <c r="W158">
        <f>AVERAGE(L139:L158)</f>
        <v/>
      </c>
      <c r="X158">
        <f>AVERAGE(P139:P158)</f>
        <v/>
      </c>
      <c r="Y158">
        <f>AVERAGE(T139:T158)</f>
        <v/>
      </c>
      <c r="Z158">
        <f>AVERAGE(U139:U158)</f>
        <v/>
      </c>
      <c r="AA158">
        <f>0.5*V158+0.5*X158</f>
        <v/>
      </c>
      <c r="AB158">
        <f>Settings!$B$3+Settings!$B$4*W158</f>
        <v/>
      </c>
      <c r="AC158">
        <f>Z158</f>
        <v/>
      </c>
      <c r="AD158">
        <f>0.5*V158+0.5*Z158</f>
        <v/>
      </c>
      <c r="AE158">
        <f>(X158+Y158+V158)/3</f>
        <v/>
      </c>
      <c r="AF158">
        <f>0.7*X158+0.3*V158</f>
        <v/>
      </c>
    </row>
    <row r="159">
      <c r="A159" t="inlineStr">
        <is>
          <t>2024-04-01</t>
        </is>
      </c>
      <c r="B159" t="n">
        <v>872447.2016696277</v>
      </c>
      <c r="C159" t="n">
        <v>479480.1678541374</v>
      </c>
      <c r="D159" t="n">
        <v>71.9698122807507</v>
      </c>
      <c r="E159" t="n">
        <v>0.2679768025268594</v>
      </c>
      <c r="F159" t="n">
        <v>0.4528580702845411</v>
      </c>
      <c r="G159" t="n">
        <v>1.226743115306386</v>
      </c>
      <c r="H159" t="n">
        <v>82.95901946366244</v>
      </c>
      <c r="I159" t="n">
        <v>1367.905741738198</v>
      </c>
      <c r="J159" t="n">
        <v>866.2111067931825</v>
      </c>
      <c r="K159" t="n">
        <v>1.517730756264427</v>
      </c>
      <c r="L159" t="n">
        <v>1.053566794013022</v>
      </c>
      <c r="M159" t="n">
        <v>2.548877725650982</v>
      </c>
      <c r="N159" t="n">
        <v>2.63338298734601</v>
      </c>
      <c r="O159" t="n">
        <v>2.63338298734601</v>
      </c>
      <c r="P159" t="n">
        <v>-2.365406184819151</v>
      </c>
      <c r="Q159" t="n">
        <v>-1.406639872039624</v>
      </c>
      <c r="R159" t="n">
        <v>-2.180524917061469</v>
      </c>
      <c r="S159">
        <f>Q159-P159</f>
        <v/>
      </c>
      <c r="T159">
        <f>Q159-Settings!$B$5</f>
        <v/>
      </c>
      <c r="U159">
        <f>0.5*(P159+T159)</f>
        <v/>
      </c>
      <c r="V159">
        <f>AVERAGE(K140:K159)</f>
        <v/>
      </c>
      <c r="W159">
        <f>AVERAGE(L140:L159)</f>
        <v/>
      </c>
      <c r="X159">
        <f>AVERAGE(P140:P159)</f>
        <v/>
      </c>
      <c r="Y159">
        <f>AVERAGE(T140:T159)</f>
        <v/>
      </c>
      <c r="Z159">
        <f>AVERAGE(U140:U159)</f>
        <v/>
      </c>
      <c r="AA159">
        <f>0.5*V159+0.5*X159</f>
        <v/>
      </c>
      <c r="AB159">
        <f>Settings!$B$3+Settings!$B$4*W159</f>
        <v/>
      </c>
      <c r="AC159">
        <f>Z159</f>
        <v/>
      </c>
      <c r="AD159">
        <f>0.5*V159+0.5*Z159</f>
        <v/>
      </c>
      <c r="AE159">
        <f>(X159+Y159+V159)/3</f>
        <v/>
      </c>
      <c r="AF159">
        <f>0.7*X159+0.3*V159</f>
        <v/>
      </c>
    </row>
    <row r="160">
      <c r="A160" t="inlineStr">
        <is>
          <t>2024-07-01</t>
        </is>
      </c>
      <c r="B160" t="n">
        <v>872427.6328139879</v>
      </c>
      <c r="C160" t="n">
        <v>482088.4945844715</v>
      </c>
      <c r="D160" t="n">
        <v>72.3968033230376</v>
      </c>
      <c r="E160" t="n">
        <v>0.4173912506478023</v>
      </c>
      <c r="F160" t="n">
        <v>0.5985492681360411</v>
      </c>
      <c r="G160" t="n">
        <v>1.275707041388115</v>
      </c>
      <c r="H160" t="n">
        <v>82.94992271277806</v>
      </c>
      <c r="I160" t="n">
        <v>1367.903498728527</v>
      </c>
      <c r="J160" t="n">
        <v>866.7645890000138</v>
      </c>
      <c r="K160" t="n">
        <v>-0.008972038683168648</v>
      </c>
      <c r="L160" t="n">
        <v>2.213928827325162</v>
      </c>
      <c r="M160" t="n">
        <v>2.366155280982412</v>
      </c>
      <c r="N160" t="n">
        <v>2.568057794228594</v>
      </c>
      <c r="O160" t="n">
        <v>2.568057794228594</v>
      </c>
      <c r="P160" t="n">
        <v>-2.150666543580791</v>
      </c>
      <c r="Q160" t="n">
        <v>-1.292350752840479</v>
      </c>
      <c r="R160" t="n">
        <v>-1.969508526092552</v>
      </c>
      <c r="S160">
        <f>Q160-P160</f>
        <v/>
      </c>
      <c r="T160">
        <f>Q160-Settings!$B$5</f>
        <v/>
      </c>
      <c r="U160">
        <f>0.5*(P160+T160)</f>
        <v/>
      </c>
      <c r="V160">
        <f>AVERAGE(K141:K160)</f>
        <v/>
      </c>
      <c r="W160">
        <f>AVERAGE(L141:L160)</f>
        <v/>
      </c>
      <c r="X160">
        <f>AVERAGE(P141:P160)</f>
        <v/>
      </c>
      <c r="Y160">
        <f>AVERAGE(T141:T160)</f>
        <v/>
      </c>
      <c r="Z160">
        <f>AVERAGE(U141:U160)</f>
        <v/>
      </c>
      <c r="AA160">
        <f>0.5*V160+0.5*X160</f>
        <v/>
      </c>
      <c r="AB160">
        <f>Settings!$B$3+Settings!$B$4*W160</f>
        <v/>
      </c>
      <c r="AC160">
        <f>Z160</f>
        <v/>
      </c>
      <c r="AD160">
        <f>0.5*V160+0.5*Z160</f>
        <v/>
      </c>
      <c r="AE160">
        <f>(X160+Y160+V160)/3</f>
        <v/>
      </c>
      <c r="AF160">
        <f>0.7*X160+0.3*V160</f>
        <v/>
      </c>
    </row>
    <row r="161">
      <c r="A161" t="inlineStr">
        <is>
          <t>2024-10-01</t>
        </is>
      </c>
      <c r="B161" t="n">
        <v>871211.738205887</v>
      </c>
      <c r="C161" t="n">
        <v>480607.7843562885</v>
      </c>
      <c r="D161" t="n">
        <v>72.89243573623634</v>
      </c>
      <c r="E161" t="n">
        <v>0.3537913633097521</v>
      </c>
      <c r="F161" t="n">
        <v>0.5631349483388552</v>
      </c>
      <c r="G161" t="n">
        <v>1.398172634248062</v>
      </c>
      <c r="H161" t="n">
        <v>82.9978414584472</v>
      </c>
      <c r="I161" t="n">
        <v>1367.764032411651</v>
      </c>
      <c r="J161" t="n">
        <v>866.3992198382124</v>
      </c>
      <c r="K161" t="n">
        <v>-0.5578652675058038</v>
      </c>
      <c r="L161" t="n">
        <v>-1.461476647205473</v>
      </c>
      <c r="M161" t="n">
        <v>2.729090407686954</v>
      </c>
      <c r="N161" t="n">
        <v>2.55677211400058</v>
      </c>
      <c r="O161" t="n">
        <v>2.55677211400058</v>
      </c>
      <c r="P161" t="n">
        <v>-2.202980750690828</v>
      </c>
      <c r="Q161" t="n">
        <v>-1.158599479752518</v>
      </c>
      <c r="R161" t="n">
        <v>-1.993637165661725</v>
      </c>
      <c r="S161">
        <f>Q161-P161</f>
        <v/>
      </c>
      <c r="T161">
        <f>Q161-Settings!$B$5</f>
        <v/>
      </c>
      <c r="U161">
        <f>0.5*(P161+T161)</f>
        <v/>
      </c>
      <c r="V161">
        <f>AVERAGE(K142:K161)</f>
        <v/>
      </c>
      <c r="W161">
        <f>AVERAGE(L142:L161)</f>
        <v/>
      </c>
      <c r="X161">
        <f>AVERAGE(P142:P161)</f>
        <v/>
      </c>
      <c r="Y161">
        <f>AVERAGE(T142:T161)</f>
        <v/>
      </c>
      <c r="Z161">
        <f>AVERAGE(U142:U161)</f>
        <v/>
      </c>
      <c r="AA161">
        <f>0.5*V161+0.5*X161</f>
        <v/>
      </c>
      <c r="AB161">
        <f>Settings!$B$3+Settings!$B$4*W161</f>
        <v/>
      </c>
      <c r="AC161">
        <f>Z161</f>
        <v/>
      </c>
      <c r="AD161">
        <f>0.5*V161+0.5*Z161</f>
        <v/>
      </c>
      <c r="AE161">
        <f>(X161+Y161+V161)/3</f>
        <v/>
      </c>
      <c r="AF161">
        <f>0.7*X161+0.3*V161</f>
        <v/>
      </c>
    </row>
    <row r="162">
      <c r="A162" t="inlineStr">
        <is>
          <t>2025-01-01</t>
        </is>
      </c>
      <c r="B162" t="n">
        <v>871192.4461544038</v>
      </c>
      <c r="C162" t="n">
        <v>482658.0755452601</v>
      </c>
      <c r="D162" t="n">
        <v>73.32093817763493</v>
      </c>
      <c r="E162" t="n">
        <v>0.483394380555976</v>
      </c>
      <c r="F162" t="n">
        <v>0.6713346031520999</v>
      </c>
      <c r="G162" t="n">
        <v>1.529731361159245</v>
      </c>
      <c r="H162" t="n">
        <v>83.00072639409687</v>
      </c>
      <c r="I162" t="n">
        <v>1367.761817994163</v>
      </c>
      <c r="J162" t="n">
        <v>866.8214404322189</v>
      </c>
      <c r="K162" t="n">
        <v>-0.008857669951794378</v>
      </c>
      <c r="L162" t="n">
        <v>1.688882376025958</v>
      </c>
      <c r="M162" t="n">
        <v>2.344538843244663</v>
      </c>
      <c r="N162" t="n">
        <v>2.497165564391253</v>
      </c>
      <c r="O162" t="n">
        <v>2.497165564391253</v>
      </c>
      <c r="P162" t="n">
        <v>-2.013771183835277</v>
      </c>
      <c r="Q162" t="n">
        <v>-0.9674342032320078</v>
      </c>
      <c r="R162" t="n">
        <v>-1.825830961239153</v>
      </c>
      <c r="S162">
        <f>Q162-P162</f>
        <v/>
      </c>
      <c r="T162">
        <f>Q162-Settings!$B$5</f>
        <v/>
      </c>
      <c r="U162">
        <f>0.5*(P162+T162)</f>
        <v/>
      </c>
      <c r="V162">
        <f>AVERAGE(K143:K162)</f>
        <v/>
      </c>
      <c r="W162">
        <f>AVERAGE(L143:L162)</f>
        <v/>
      </c>
      <c r="X162">
        <f>AVERAGE(P143:P162)</f>
        <v/>
      </c>
      <c r="Y162">
        <f>AVERAGE(T143:T162)</f>
        <v/>
      </c>
      <c r="Z162">
        <f>AVERAGE(U143:U162)</f>
        <v/>
      </c>
      <c r="AA162">
        <f>0.5*V162+0.5*X162</f>
        <v/>
      </c>
      <c r="AB162">
        <f>Settings!$B$3+Settings!$B$4*W162</f>
        <v/>
      </c>
      <c r="AC162">
        <f>Z162</f>
        <v/>
      </c>
      <c r="AD162">
        <f>0.5*V162+0.5*Z162</f>
        <v/>
      </c>
      <c r="AE162">
        <f>(X162+Y162+V162)/3</f>
        <v/>
      </c>
      <c r="AF162">
        <f>0.7*X162+0.3*V162</f>
        <v/>
      </c>
    </row>
    <row r="163">
      <c r="A163" t="inlineStr">
        <is>
          <t>2025-04-01</t>
        </is>
      </c>
      <c r="B163" t="n">
        <v>872422.3704915344</v>
      </c>
      <c r="C163" t="n">
        <v>481236.952948658</v>
      </c>
      <c r="D163" t="n">
        <v>73.83592542039031</v>
      </c>
      <c r="E163" t="n">
        <v>0.3823129651108996</v>
      </c>
      <c r="F163" t="n">
        <v>0.5896360967802502</v>
      </c>
      <c r="G163" t="n">
        <v>1.229241439385229</v>
      </c>
      <c r="H163" t="n">
        <v>83.0095052212382</v>
      </c>
      <c r="I163" t="n">
        <v>1367.902895545166</v>
      </c>
      <c r="J163" t="n">
        <v>866.5159931483184</v>
      </c>
      <c r="K163" t="n">
        <v>0.5643102040112353</v>
      </c>
      <c r="L163" t="n">
        <v>-1.221789135601739</v>
      </c>
      <c r="M163" t="n">
        <v>2.799675570893669</v>
      </c>
      <c r="N163" t="n">
        <v>2.559865025701924</v>
      </c>
      <c r="O163" t="n">
        <v>2.559865025701924</v>
      </c>
      <c r="P163" t="n">
        <v>-2.177552060591025</v>
      </c>
      <c r="Q163" t="n">
        <v>-1.330623586316696</v>
      </c>
      <c r="R163" t="n">
        <v>-1.970228928921674</v>
      </c>
      <c r="S163">
        <f>Q163-P163</f>
        <v/>
      </c>
      <c r="T163">
        <f>Q163-Settings!$B$5</f>
        <v/>
      </c>
      <c r="U163">
        <f>0.5*(P163+T163)</f>
        <v/>
      </c>
      <c r="V163">
        <f>AVERAGE(K144:K163)</f>
        <v/>
      </c>
      <c r="W163">
        <f>AVERAGE(L144:L163)</f>
        <v/>
      </c>
      <c r="X163">
        <f>AVERAGE(P144:P163)</f>
        <v/>
      </c>
      <c r="Y163">
        <f>AVERAGE(T144:T163)</f>
        <v/>
      </c>
      <c r="Z163">
        <f>AVERAGE(U144:U163)</f>
        <v/>
      </c>
      <c r="AA163">
        <f>0.5*V163+0.5*X163</f>
        <v/>
      </c>
      <c r="AB163">
        <f>Settings!$B$3+Settings!$B$4*W163</f>
        <v/>
      </c>
      <c r="AC163">
        <f>Z163</f>
        <v/>
      </c>
      <c r="AD163">
        <f>0.5*V163+0.5*Z163</f>
        <v/>
      </c>
      <c r="AE163">
        <f>(X163+Y163+V163)/3</f>
        <v/>
      </c>
      <c r="AF163">
        <f>0.7*X163+0.3*V163</f>
        <v/>
      </c>
    </row>
    <row r="164">
      <c r="A164" t="inlineStr">
        <is>
          <t>2025-07-01</t>
        </is>
      </c>
      <c r="B164" t="n">
        <v>881769.6725419697</v>
      </c>
      <c r="C164" t="n">
        <v>481933.2976626694</v>
      </c>
      <c r="D164" t="n">
        <v>74.37793852968103</v>
      </c>
      <c r="E164" t="n">
        <v>0.5043629583401396</v>
      </c>
      <c r="F164" t="n">
        <v>0.7125590790257033</v>
      </c>
      <c r="G164" t="n">
        <v>1.5273111298865</v>
      </c>
      <c r="H164" t="n">
        <v>82.97365435990137</v>
      </c>
      <c r="I164" t="n">
        <v>1368.968615864269</v>
      </c>
      <c r="J164" t="n">
        <v>866.7037856805996</v>
      </c>
      <c r="K164" t="n">
        <v>4.262881276412372</v>
      </c>
      <c r="L164" t="n">
        <v>0.7511701291246027</v>
      </c>
      <c r="M164" t="n">
        <v>2.92558610133392</v>
      </c>
      <c r="N164" t="n">
        <v>2.699722730789802</v>
      </c>
      <c r="O164" t="n">
        <v>2.699722730789802</v>
      </c>
      <c r="P164" t="n">
        <v>-2.195359772449662</v>
      </c>
      <c r="Q164" t="n">
        <v>-1.172411600903301</v>
      </c>
      <c r="R164" t="n">
        <v>-1.987163651764098</v>
      </c>
      <c r="S164">
        <f>Q164-P164</f>
        <v/>
      </c>
      <c r="T164">
        <f>Q164-Settings!$B$5</f>
        <v/>
      </c>
      <c r="U164">
        <f>0.5*(P164+T164)</f>
        <v/>
      </c>
      <c r="V164">
        <f>AVERAGE(K145:K164)</f>
        <v/>
      </c>
      <c r="W164">
        <f>AVERAGE(L145:L164)</f>
        <v/>
      </c>
      <c r="X164">
        <f>AVERAGE(P145:P164)</f>
        <v/>
      </c>
      <c r="Y164">
        <f>AVERAGE(T145:T164)</f>
        <v/>
      </c>
      <c r="Z164">
        <f>AVERAGE(U145:U164)</f>
        <v/>
      </c>
      <c r="AA164">
        <f>0.5*V164+0.5*X164</f>
        <v/>
      </c>
      <c r="AB164">
        <f>Settings!$B$3+Settings!$B$4*W164</f>
        <v/>
      </c>
      <c r="AC164">
        <f>Z164</f>
        <v/>
      </c>
      <c r="AD164">
        <f>0.5*V164+0.5*Z164</f>
        <v/>
      </c>
      <c r="AE164">
        <f>(X164+Y164+V164)/3</f>
        <v/>
      </c>
      <c r="AF164">
        <f>0.7*X164+0.3*V164</f>
        <v/>
      </c>
    </row>
    <row r="165">
      <c r="A165" t="inlineStr">
        <is>
          <t>2025-10-01</t>
        </is>
      </c>
      <c r="B165" t="n">
        <v>883922.0766317253</v>
      </c>
      <c r="C165" t="n">
        <v>486026.9605275965</v>
      </c>
      <c r="D165" t="n">
        <v>74.88355232512797</v>
      </c>
      <c r="E165" t="n">
        <v>0.5284700131895614</v>
      </c>
      <c r="F165" t="n">
        <v>0.6942871431568142</v>
      </c>
      <c r="G165" t="n">
        <v>1.602028322432399</v>
      </c>
      <c r="H165" t="n">
        <v>82.90578770435597</v>
      </c>
      <c r="I165" t="n">
        <v>1369.212418912782</v>
      </c>
      <c r="J165" t="n">
        <v>867.6314500483509</v>
      </c>
      <c r="K165" t="n">
        <v>0.9752121940518919</v>
      </c>
      <c r="L165" t="n">
        <v>3.710657471005106</v>
      </c>
      <c r="M165" t="n">
        <v>2.709959422171096</v>
      </c>
      <c r="N165" t="n">
        <v>2.694939984410837</v>
      </c>
      <c r="O165" t="n">
        <v>2.694939984410837</v>
      </c>
      <c r="P165" t="n">
        <v>-2.166469971221276</v>
      </c>
      <c r="Q165" t="n">
        <v>-1.092911661978438</v>
      </c>
      <c r="R165" t="n">
        <v>-2.000652841254023</v>
      </c>
      <c r="S165">
        <f>Q165-P165</f>
        <v/>
      </c>
      <c r="T165">
        <f>Q165-Settings!$B$5</f>
        <v/>
      </c>
      <c r="U165">
        <f>0.5*(P165+T165)</f>
        <v/>
      </c>
      <c r="V165">
        <f>AVERAGE(K146:K165)</f>
        <v/>
      </c>
      <c r="W165">
        <f>AVERAGE(L146:L165)</f>
        <v/>
      </c>
      <c r="X165">
        <f>AVERAGE(P146:P165)</f>
        <v/>
      </c>
      <c r="Y165">
        <f>AVERAGE(T146:T165)</f>
        <v/>
      </c>
      <c r="Z165">
        <f>AVERAGE(U146:U165)</f>
        <v/>
      </c>
      <c r="AA165">
        <f>0.5*V165+0.5*X165</f>
        <v/>
      </c>
      <c r="AB165">
        <f>Settings!$B$3+Settings!$B$4*W165</f>
        <v/>
      </c>
      <c r="AC165">
        <f>Z165</f>
        <v/>
      </c>
      <c r="AD165">
        <f>0.5*V165+0.5*Z165</f>
        <v/>
      </c>
      <c r="AE165">
        <f>(X165+Y165+V165)/3</f>
        <v/>
      </c>
      <c r="AF165">
        <f>0.7*X165+0.3*V165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60" customWidth="1" min="3" max="3"/>
  </cols>
  <sheetData>
    <row r="1">
      <c r="A1" s="1" t="inlineStr">
        <is>
          <t>Settings</t>
        </is>
      </c>
    </row>
    <row r="2">
      <c r="A2" s="3" t="inlineStr">
        <is>
          <t>window (quarters)</t>
        </is>
      </c>
      <c r="B2" t="n">
        <v>20</v>
      </c>
      <c r="C2" s="4" t="inlineStr">
        <is>
          <t>Trailing window baked into the trend columns (rebuild to change)</t>
        </is>
      </c>
    </row>
    <row r="3">
      <c r="A3" s="3" t="inlineStr">
        <is>
          <t>rho (DSGE, %)</t>
        </is>
      </c>
      <c r="B3" t="n">
        <v>0</v>
      </c>
      <c r="C3" s="4" t="inlineStr">
        <is>
          <t>Rate of time preference / steady-state premium</t>
        </is>
      </c>
    </row>
    <row r="4">
      <c r="A4" s="3" t="inlineStr">
        <is>
          <t>gamma (DSGE)</t>
        </is>
      </c>
      <c r="B4" t="n">
        <v>1</v>
      </c>
      <c r="C4" s="4" t="inlineStr">
        <is>
          <t>Inverse EIS (1 = log utility)</t>
        </is>
      </c>
    </row>
    <row r="5">
      <c r="A5" s="3" t="inlineStr">
        <is>
          <t>avg real term spread</t>
        </is>
      </c>
      <c r="B5">
        <f>AVERAGE(Data!$S$2:$S$1000)</f>
        <v/>
      </c>
      <c r="C5" s="4" t="inlineStr">
        <is>
          <t>Average real 10y-short spread; used to level-adjust the long rate</t>
        </is>
      </c>
    </row>
    <row r="7">
      <c r="A7" s="4" t="inlineStr">
        <is>
          <t>B3/B4 recalibrate the DSGE Euler equation and recompute live. B2 (window) is baked into the trend ranges at build time - to change it, rerun build_workbook.py. New data rows recompute automatically once formulas are filled down.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- Japan r* by method</t>
        </is>
      </c>
    </row>
    <row r="2">
      <c r="A2" s="4" t="inlineStr">
        <is>
          <t>Excel proxies (live). Python faithful estimates shown where available - re-run python -m neutralrate.run_all to refresh them.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Faithful Python (state-space / MLE) estimates - from `python -m neutralrate.run_all`. Re-run to refresh.</t>
        </is>
      </c>
    </row>
    <row r="3">
      <c r="A3" s="5" t="inlineStr">
        <is>
          <t>date</t>
        </is>
      </c>
      <c r="B3" s="5" t="inlineStr">
        <is>
          <t>HLW (2023)</t>
        </is>
      </c>
      <c r="C3" s="5" t="inlineStr">
        <is>
          <t>DSGE (Okazaki-Sudo 2018)</t>
        </is>
      </c>
      <c r="D3" s="5" t="inlineStr">
        <is>
          <t>Natural Yield Curve (Imakubo et al. 2015)</t>
        </is>
      </c>
      <c r="E3" s="5" t="inlineStr">
        <is>
          <t>Natural Yield Curve (Nakajima et al. 2023)</t>
        </is>
      </c>
      <c r="F3" s="5" t="inlineStr">
        <is>
          <t>Macro-finance (Goy-Iwasaki 2024)</t>
        </is>
      </c>
      <c r="G3" s="5" t="inlineStr">
        <is>
          <t>VAR common trends (Del Negro et al. 2017)</t>
        </is>
      </c>
    </row>
    <row r="4">
      <c r="A4" t="inlineStr">
        <is>
          <t>1985-01-01</t>
        </is>
      </c>
      <c r="C4" t="n">
        <v>4.629779820880789</v>
      </c>
    </row>
    <row r="5">
      <c r="A5" t="inlineStr">
        <is>
          <t>1985-04-01</t>
        </is>
      </c>
      <c r="B5" t="n">
        <v>6.529871814102447</v>
      </c>
      <c r="C5" t="n">
        <v>4.792968368412067</v>
      </c>
      <c r="D5" t="n">
        <v>4.790374416221039</v>
      </c>
      <c r="E5" t="n">
        <v>4.891348831695822</v>
      </c>
      <c r="F5" t="n">
        <v>4.371212060876299</v>
      </c>
      <c r="G5" t="n">
        <v>2.761327585372872</v>
      </c>
    </row>
    <row r="6">
      <c r="A6" t="inlineStr">
        <is>
          <t>1985-07-01</t>
        </is>
      </c>
      <c r="B6" t="n">
        <v>7.069939036903353</v>
      </c>
      <c r="C6" t="n">
        <v>4.723941672392746</v>
      </c>
      <c r="D6" t="n">
        <v>4.21782342047437</v>
      </c>
      <c r="E6" t="n">
        <v>4.634363530070967</v>
      </c>
      <c r="F6" t="n">
        <v>4.173992352341661</v>
      </c>
      <c r="G6" t="n">
        <v>2.653382975989986</v>
      </c>
    </row>
    <row r="7">
      <c r="A7" t="inlineStr">
        <is>
          <t>1985-10-01</t>
        </is>
      </c>
      <c r="B7" t="n">
        <v>6.627788805230052</v>
      </c>
      <c r="C7" t="n">
        <v>4.60901301929429</v>
      </c>
      <c r="D7" t="n">
        <v>4.118199731108181</v>
      </c>
      <c r="E7" t="n">
        <v>4.304994286702314</v>
      </c>
      <c r="F7" t="n">
        <v>4.056721174798462</v>
      </c>
      <c r="G7" t="n">
        <v>2.643671497917445</v>
      </c>
    </row>
    <row r="8">
      <c r="A8" t="inlineStr">
        <is>
          <t>1986-01-01</t>
        </is>
      </c>
      <c r="B8" t="n">
        <v>7.117534241427784</v>
      </c>
      <c r="C8" t="n">
        <v>4.663343360858214</v>
      </c>
      <c r="D8" t="n">
        <v>3.985774377655954</v>
      </c>
      <c r="E8" t="n">
        <v>4.309923610331587</v>
      </c>
      <c r="F8" t="n">
        <v>3.958756064524316</v>
      </c>
      <c r="G8" t="n">
        <v>2.588922555033228</v>
      </c>
    </row>
    <row r="9">
      <c r="A9" t="inlineStr">
        <is>
          <t>1986-04-01</t>
        </is>
      </c>
      <c r="B9" t="n">
        <v>6.797265800096165</v>
      </c>
      <c r="C9" t="n">
        <v>4.833450709565691</v>
      </c>
      <c r="D9" t="n">
        <v>4.092269882781238</v>
      </c>
      <c r="E9" t="n">
        <v>4.596449190335651</v>
      </c>
      <c r="F9" t="n">
        <v>3.925455505122386</v>
      </c>
      <c r="G9" t="n">
        <v>2.598669958310294</v>
      </c>
    </row>
    <row r="10">
      <c r="A10" t="inlineStr">
        <is>
          <t>1986-07-01</t>
        </is>
      </c>
      <c r="B10" t="n">
        <v>7.10426412885712</v>
      </c>
      <c r="C10" t="n">
        <v>5.0453043412318</v>
      </c>
      <c r="D10" t="n">
        <v>4.020483493496679</v>
      </c>
      <c r="E10" t="n">
        <v>4.630599842299324</v>
      </c>
      <c r="F10" t="n">
        <v>3.889785943907754</v>
      </c>
      <c r="G10" t="n">
        <v>2.589875254303833</v>
      </c>
    </row>
    <row r="11">
      <c r="A11" t="inlineStr">
        <is>
          <t>1986-10-01</t>
        </is>
      </c>
      <c r="B11" t="n">
        <v>6.92450436747611</v>
      </c>
      <c r="C11" t="n">
        <v>5.189855067584999</v>
      </c>
      <c r="D11" t="n">
        <v>4.076901692098065</v>
      </c>
      <c r="E11" t="n">
        <v>4.717942141727294</v>
      </c>
      <c r="F11" t="n">
        <v>3.888695140646028</v>
      </c>
      <c r="G11" t="n">
        <v>2.60666183859671</v>
      </c>
    </row>
    <row r="12">
      <c r="A12" t="inlineStr">
        <is>
          <t>1987-01-01</t>
        </is>
      </c>
      <c r="B12" t="n">
        <v>7.068683665159435</v>
      </c>
      <c r="C12" t="n">
        <v>5.407091422152035</v>
      </c>
      <c r="D12" t="n">
        <v>4.184353617958525</v>
      </c>
      <c r="E12" t="n">
        <v>4.76471586551194</v>
      </c>
      <c r="F12" t="n">
        <v>3.853552710424681</v>
      </c>
      <c r="G12" t="n">
        <v>2.618944295688284</v>
      </c>
    </row>
    <row r="13">
      <c r="A13" t="inlineStr">
        <is>
          <t>1987-04-01</t>
        </is>
      </c>
      <c r="B13" t="n">
        <v>7.005077745418715</v>
      </c>
      <c r="C13" t="n">
        <v>5.708092267134655</v>
      </c>
      <c r="D13" t="n">
        <v>3.7671390296622</v>
      </c>
      <c r="E13" t="n">
        <v>4.739345562391203</v>
      </c>
      <c r="F13" t="n">
        <v>3.692071667550977</v>
      </c>
      <c r="G13" t="n">
        <v>2.549034964999662</v>
      </c>
    </row>
    <row r="14">
      <c r="A14" t="inlineStr">
        <is>
          <t>1987-07-01</t>
        </is>
      </c>
      <c r="B14" t="n">
        <v>7.0519512350282</v>
      </c>
      <c r="C14" t="n">
        <v>5.845637621461002</v>
      </c>
      <c r="D14" t="n">
        <v>3.655654438503781</v>
      </c>
      <c r="E14" t="n">
        <v>4.673397099343197</v>
      </c>
      <c r="F14" t="n">
        <v>3.495735241201044</v>
      </c>
      <c r="G14" t="n">
        <v>2.479703133848702</v>
      </c>
    </row>
    <row r="15">
      <c r="A15" t="inlineStr">
        <is>
          <t>1987-10-01</t>
        </is>
      </c>
      <c r="B15" t="n">
        <v>6.960086333782847</v>
      </c>
      <c r="C15" t="n">
        <v>5.6589083362319</v>
      </c>
      <c r="D15" t="n">
        <v>3.437879372099242</v>
      </c>
      <c r="E15" t="n">
        <v>4.428690063063474</v>
      </c>
      <c r="F15" t="n">
        <v>3.308870027238238</v>
      </c>
      <c r="G15" t="n">
        <v>2.393500765116648</v>
      </c>
    </row>
    <row r="16">
      <c r="A16" t="inlineStr">
        <is>
          <t>1988-01-01</t>
        </is>
      </c>
      <c r="B16" t="n">
        <v>7.048939354238401</v>
      </c>
      <c r="C16" t="n">
        <v>5.232290002205212</v>
      </c>
      <c r="D16" t="n">
        <v>3.251828347048422</v>
      </c>
      <c r="E16" t="n">
        <v>4.269858862021351</v>
      </c>
      <c r="F16" t="n">
        <v>3.214918085010905</v>
      </c>
      <c r="G16" t="n">
        <v>2.362944196792978</v>
      </c>
    </row>
    <row r="17">
      <c r="A17" t="inlineStr">
        <is>
          <t>1988-04-01</t>
        </is>
      </c>
      <c r="B17" t="n">
        <v>6.874592971150142</v>
      </c>
      <c r="C17" t="n">
        <v>4.789394105757175</v>
      </c>
      <c r="D17" t="n">
        <v>3.310851931866959</v>
      </c>
      <c r="E17" t="n">
        <v>4.028284506799269</v>
      </c>
      <c r="F17" t="n">
        <v>3.189639717338235</v>
      </c>
      <c r="G17" t="n">
        <v>2.360064188642999</v>
      </c>
    </row>
    <row r="18">
      <c r="A18" t="inlineStr">
        <is>
          <t>1988-07-01</t>
        </is>
      </c>
      <c r="B18" t="n">
        <v>6.962981148470494</v>
      </c>
      <c r="C18" t="n">
        <v>4.364987917261148</v>
      </c>
      <c r="D18" t="n">
        <v>3.421639072298916</v>
      </c>
      <c r="E18" t="n">
        <v>3.739798757563322</v>
      </c>
      <c r="F18" t="n">
        <v>3.179902510207193</v>
      </c>
      <c r="G18" t="n">
        <v>2.374306962539048</v>
      </c>
    </row>
    <row r="19">
      <c r="A19" t="inlineStr">
        <is>
          <t>1988-10-01</t>
        </is>
      </c>
      <c r="B19" t="n">
        <v>6.829023671462895</v>
      </c>
      <c r="C19" t="n">
        <v>3.973322005430403</v>
      </c>
      <c r="D19" t="n">
        <v>3.229905167879414</v>
      </c>
      <c r="E19" t="n">
        <v>3.523356708148138</v>
      </c>
      <c r="F19" t="n">
        <v>3.044709632608288</v>
      </c>
      <c r="G19" t="n">
        <v>2.295069709790193</v>
      </c>
    </row>
    <row r="20">
      <c r="A20" t="inlineStr">
        <is>
          <t>1989-01-01</t>
        </is>
      </c>
      <c r="B20" t="n">
        <v>6.843329494773262</v>
      </c>
      <c r="C20" t="n">
        <v>3.53152248879491</v>
      </c>
      <c r="D20" t="n">
        <v>2.815524102742026</v>
      </c>
      <c r="E20" t="n">
        <v>3.08417345340345</v>
      </c>
      <c r="F20" t="n">
        <v>2.836688653799718</v>
      </c>
      <c r="G20" t="n">
        <v>2.15829396959386</v>
      </c>
    </row>
    <row r="21">
      <c r="A21" t="inlineStr">
        <is>
          <t>1989-04-01</t>
        </is>
      </c>
      <c r="B21" t="n">
        <v>6.793346525083701</v>
      </c>
      <c r="C21" t="n">
        <v>3.255242360848343</v>
      </c>
      <c r="D21" t="n">
        <v>3.032014467445463</v>
      </c>
      <c r="E21" t="n">
        <v>3.201974912459277</v>
      </c>
      <c r="F21" t="n">
        <v>2.799796092290073</v>
      </c>
      <c r="G21" t="n">
        <v>2.167055594707179</v>
      </c>
    </row>
    <row r="22">
      <c r="A22" t="inlineStr">
        <is>
          <t>1989-07-01</t>
        </is>
      </c>
      <c r="B22" t="n">
        <v>6.740057974862265</v>
      </c>
      <c r="C22" t="n">
        <v>3.019052283716936</v>
      </c>
      <c r="D22" t="n">
        <v>2.900942883748877</v>
      </c>
      <c r="E22" t="n">
        <v>2.936016032954022</v>
      </c>
      <c r="F22" t="n">
        <v>2.742652657079701</v>
      </c>
      <c r="G22" t="n">
        <v>2.116675354278064</v>
      </c>
    </row>
    <row r="23">
      <c r="A23" t="inlineStr">
        <is>
          <t>1989-10-01</t>
        </is>
      </c>
      <c r="B23" t="n">
        <v>6.718418099813917</v>
      </c>
      <c r="C23" t="n">
        <v>2.700391875043821</v>
      </c>
      <c r="D23" t="n">
        <v>2.742182135436537</v>
      </c>
      <c r="E23" t="n">
        <v>2.690341580012573</v>
      </c>
      <c r="F23" t="n">
        <v>2.763742607163081</v>
      </c>
      <c r="G23" t="n">
        <v>2.079678429363769</v>
      </c>
    </row>
    <row r="24">
      <c r="A24" t="inlineStr">
        <is>
          <t>1990-01-01</t>
        </is>
      </c>
      <c r="B24" t="n">
        <v>6.660112220150851</v>
      </c>
      <c r="C24" t="n">
        <v>2.43924660486648</v>
      </c>
      <c r="D24" t="n">
        <v>3.313907455255336</v>
      </c>
      <c r="E24" t="n">
        <v>2.866545189489947</v>
      </c>
      <c r="F24" t="n">
        <v>2.958924580363167</v>
      </c>
      <c r="G24" t="n">
        <v>2.190803648804517</v>
      </c>
    </row>
    <row r="25">
      <c r="A25" t="inlineStr">
        <is>
          <t>1990-04-01</t>
        </is>
      </c>
      <c r="B25" t="n">
        <v>6.680787291006078</v>
      </c>
      <c r="C25" t="n">
        <v>2.216072890701886</v>
      </c>
      <c r="D25" t="n">
        <v>3.14571531284081</v>
      </c>
      <c r="E25" t="n">
        <v>2.874171258788168</v>
      </c>
      <c r="F25" t="n">
        <v>3.033745160011669</v>
      </c>
      <c r="G25" t="n">
        <v>2.153661655121948</v>
      </c>
    </row>
    <row r="26">
      <c r="A26" t="inlineStr">
        <is>
          <t>1990-07-01</t>
        </is>
      </c>
      <c r="B26" t="n">
        <v>6.58882088642989</v>
      </c>
      <c r="C26" t="n">
        <v>2.153339309597555</v>
      </c>
      <c r="D26" t="n">
        <v>3.403506876106132</v>
      </c>
      <c r="E26" t="n">
        <v>2.830261032387144</v>
      </c>
      <c r="F26" t="n">
        <v>3.162826185910742</v>
      </c>
      <c r="G26" t="n">
        <v>2.201689789493897</v>
      </c>
    </row>
    <row r="27">
      <c r="A27" t="inlineStr">
        <is>
          <t>1990-10-01</t>
        </is>
      </c>
      <c r="B27" t="n">
        <v>6.6132933164684</v>
      </c>
      <c r="C27" t="n">
        <v>2.329227729186209</v>
      </c>
      <c r="D27" t="n">
        <v>3.46967352279909</v>
      </c>
      <c r="E27" t="n">
        <v>2.77122279591184</v>
      </c>
      <c r="F27" t="n">
        <v>3.291314021493428</v>
      </c>
      <c r="G27" t="n">
        <v>2.22978228938798</v>
      </c>
    </row>
    <row r="28">
      <c r="A28" t="inlineStr">
        <is>
          <t>1991-01-01</t>
        </is>
      </c>
      <c r="B28" t="n">
        <v>6.572957972769321</v>
      </c>
      <c r="C28" t="n">
        <v>2.590339177035117</v>
      </c>
      <c r="D28" t="n">
        <v>3.721276580840967</v>
      </c>
      <c r="E28" t="n">
        <v>2.93587560381179</v>
      </c>
      <c r="F28" t="n">
        <v>3.405913740448153</v>
      </c>
      <c r="G28" t="n">
        <v>2.289997116322747</v>
      </c>
    </row>
    <row r="29">
      <c r="A29" t="inlineStr">
        <is>
          <t>1991-04-01</t>
        </is>
      </c>
      <c r="B29" t="n">
        <v>6.573260892516029</v>
      </c>
      <c r="C29" t="n">
        <v>2.627131153417071</v>
      </c>
      <c r="D29" t="n">
        <v>3.589826400026899</v>
      </c>
      <c r="E29" t="n">
        <v>3.038005112265853</v>
      </c>
      <c r="F29" t="n">
        <v>3.372732585166877</v>
      </c>
      <c r="G29" t="n">
        <v>2.249386680824365</v>
      </c>
    </row>
    <row r="30">
      <c r="A30" t="inlineStr">
        <is>
          <t>1991-07-01</t>
        </is>
      </c>
      <c r="B30" t="n">
        <v>6.568162224317001</v>
      </c>
      <c r="C30" t="n">
        <v>2.622841718718331</v>
      </c>
      <c r="D30" t="n">
        <v>3.632296124131742</v>
      </c>
      <c r="E30" t="n">
        <v>3.168196233324124</v>
      </c>
      <c r="F30" t="n">
        <v>3.304171023827319</v>
      </c>
      <c r="G30" t="n">
        <v>2.229729389724826</v>
      </c>
    </row>
    <row r="31">
      <c r="A31" t="inlineStr">
        <is>
          <t>1991-10-01</t>
        </is>
      </c>
      <c r="B31" t="n">
        <v>6.54556589840927</v>
      </c>
      <c r="C31" t="n">
        <v>2.831797787368921</v>
      </c>
      <c r="D31" t="n">
        <v>3.473501743294585</v>
      </c>
      <c r="E31" t="n">
        <v>3.214594870154773</v>
      </c>
      <c r="F31" t="n">
        <v>3.206217503866938</v>
      </c>
      <c r="G31" t="n">
        <v>2.222420175158656</v>
      </c>
    </row>
    <row r="32">
      <c r="A32" t="inlineStr">
        <is>
          <t>1992-01-01</t>
        </is>
      </c>
      <c r="B32" t="n">
        <v>6.547603722000535</v>
      </c>
      <c r="C32" t="n">
        <v>3.053959627779303</v>
      </c>
      <c r="D32" t="n">
        <v>3.080219073125174</v>
      </c>
      <c r="E32" t="n">
        <v>3.170639065709196</v>
      </c>
      <c r="F32" t="n">
        <v>3.035235372219377</v>
      </c>
      <c r="G32" t="n">
        <v>2.142394478725749</v>
      </c>
    </row>
    <row r="33">
      <c r="A33" t="inlineStr">
        <is>
          <t>1992-04-01</t>
        </is>
      </c>
      <c r="B33" t="n">
        <v>6.57074806843895</v>
      </c>
      <c r="C33" t="n">
        <v>3.115718098560144</v>
      </c>
      <c r="D33" t="n">
        <v>3.083911420170033</v>
      </c>
      <c r="E33" t="n">
        <v>3.373642413123054</v>
      </c>
      <c r="F33" t="n">
        <v>2.952273804919966</v>
      </c>
      <c r="G33" t="n">
        <v>2.129819442707076</v>
      </c>
    </row>
    <row r="34">
      <c r="A34" t="inlineStr">
        <is>
          <t>1992-07-01</t>
        </is>
      </c>
      <c r="B34" t="n">
        <v>6.465331298034597</v>
      </c>
      <c r="C34" t="n">
        <v>3.256500408518742</v>
      </c>
      <c r="D34" t="n">
        <v>3.148430160886244</v>
      </c>
      <c r="E34" t="n">
        <v>3.201472521810309</v>
      </c>
      <c r="F34" t="n">
        <v>2.936589307076428</v>
      </c>
      <c r="G34" t="n">
        <v>2.186322422128345</v>
      </c>
    </row>
    <row r="35">
      <c r="A35" t="inlineStr">
        <is>
          <t>1992-10-01</t>
        </is>
      </c>
      <c r="B35" t="n">
        <v>6.569650324421632</v>
      </c>
      <c r="C35" t="n">
        <v>3.446887201331041</v>
      </c>
      <c r="D35" t="n">
        <v>2.969208365005904</v>
      </c>
      <c r="E35" t="n">
        <v>3.082161851118745</v>
      </c>
      <c r="F35" t="n">
        <v>2.845083184295794</v>
      </c>
      <c r="G35" t="n">
        <v>2.133221644849031</v>
      </c>
    </row>
    <row r="36">
      <c r="A36" t="inlineStr">
        <is>
          <t>1993-01-01</t>
        </is>
      </c>
      <c r="B36" t="n">
        <v>6.425307795186831</v>
      </c>
      <c r="C36" t="n">
        <v>3.620553154259175</v>
      </c>
      <c r="D36" t="n">
        <v>3.022903467970672</v>
      </c>
      <c r="E36" t="n">
        <v>3.207299852040969</v>
      </c>
      <c r="F36" t="n">
        <v>2.763893727626767</v>
      </c>
      <c r="G36" t="n">
        <v>2.138318861376038</v>
      </c>
    </row>
    <row r="37">
      <c r="A37" t="inlineStr">
        <is>
          <t>1993-04-01</t>
        </is>
      </c>
      <c r="B37" t="n">
        <v>6.565347201984187</v>
      </c>
      <c r="C37" t="n">
        <v>3.917769114615664</v>
      </c>
      <c r="D37" t="n">
        <v>2.753231027316282</v>
      </c>
      <c r="E37" t="n">
        <v>3.370619743224095</v>
      </c>
      <c r="F37" t="n">
        <v>2.609739989738231</v>
      </c>
      <c r="G37" t="n">
        <v>2.08574159956784</v>
      </c>
    </row>
    <row r="38">
      <c r="A38" t="inlineStr">
        <is>
          <t>1993-07-01</t>
        </is>
      </c>
      <c r="B38" t="n">
        <v>6.408227810832386</v>
      </c>
      <c r="C38" t="n">
        <v>4.13752303421025</v>
      </c>
      <c r="D38" t="n">
        <v>2.595746894677715</v>
      </c>
      <c r="E38" t="n">
        <v>3.458644661936693</v>
      </c>
      <c r="F38" t="n">
        <v>2.459291907891505</v>
      </c>
      <c r="G38" t="n">
        <v>2.059469044668678</v>
      </c>
    </row>
    <row r="39">
      <c r="A39" t="inlineStr">
        <is>
          <t>1993-10-01</t>
        </is>
      </c>
      <c r="B39" t="n">
        <v>6.490038742825339</v>
      </c>
      <c r="C39" t="n">
        <v>4.23238381756379</v>
      </c>
      <c r="D39" t="n">
        <v>2.459664927168192</v>
      </c>
      <c r="E39" t="n">
        <v>3.302478839801747</v>
      </c>
      <c r="F39" t="n">
        <v>2.326197155995315</v>
      </c>
      <c r="G39" t="n">
        <v>2.039759484583965</v>
      </c>
    </row>
    <row r="40">
      <c r="A40" t="inlineStr">
        <is>
          <t>1994-01-01</t>
        </is>
      </c>
      <c r="B40" t="n">
        <v>6.364755527247261</v>
      </c>
      <c r="C40" t="n">
        <v>4.214861250228987</v>
      </c>
      <c r="D40" t="n">
        <v>2.355068460073197</v>
      </c>
      <c r="E40" t="n">
        <v>3.177619256634148</v>
      </c>
      <c r="F40" t="n">
        <v>2.200196630801115</v>
      </c>
      <c r="G40" t="n">
        <v>2.00801814862813</v>
      </c>
    </row>
    <row r="41">
      <c r="A41" t="inlineStr">
        <is>
          <t>1994-04-01</t>
        </is>
      </c>
      <c r="B41" t="n">
        <v>6.409629109708535</v>
      </c>
      <c r="C41" t="n">
        <v>4.155790723258152</v>
      </c>
      <c r="D41" t="n">
        <v>2.217457432297427</v>
      </c>
      <c r="E41" t="n">
        <v>3.189618962431342</v>
      </c>
      <c r="F41" t="n">
        <v>2.071491959357652</v>
      </c>
      <c r="G41" t="n">
        <v>1.971658405793069</v>
      </c>
    </row>
    <row r="42">
      <c r="A42" t="inlineStr">
        <is>
          <t>1994-07-01</t>
        </is>
      </c>
      <c r="B42" t="n">
        <v>6.334578181323277</v>
      </c>
      <c r="C42" t="n">
        <v>4.237889914748818</v>
      </c>
      <c r="D42" t="n">
        <v>2.008792301543531</v>
      </c>
      <c r="E42" t="n">
        <v>3.327649045188537</v>
      </c>
      <c r="F42" t="n">
        <v>1.950033724902604</v>
      </c>
      <c r="G42" t="n">
        <v>1.953289504851487</v>
      </c>
    </row>
    <row r="43">
      <c r="A43" t="inlineStr">
        <is>
          <t>1994-10-01</t>
        </is>
      </c>
      <c r="B43" t="n">
        <v>6.305609158625349</v>
      </c>
      <c r="C43" t="n">
        <v>4.287680112802105</v>
      </c>
      <c r="D43" t="n">
        <v>1.967280245811188</v>
      </c>
      <c r="E43" t="n">
        <v>3.386412604003489</v>
      </c>
      <c r="F43" t="n">
        <v>1.816792565320452</v>
      </c>
      <c r="G43" t="n">
        <v>1.919291129620448</v>
      </c>
    </row>
    <row r="44">
      <c r="A44" t="inlineStr">
        <is>
          <t>1995-01-01</t>
        </is>
      </c>
      <c r="B44" t="n">
        <v>6.252038004903417</v>
      </c>
      <c r="C44" t="n">
        <v>4.404665654297498</v>
      </c>
      <c r="D44" t="n">
        <v>1.7599298941177</v>
      </c>
      <c r="E44" t="n">
        <v>3.211031886061159</v>
      </c>
      <c r="F44" t="n">
        <v>1.687935820738284</v>
      </c>
      <c r="G44" t="n">
        <v>1.887289243318932</v>
      </c>
    </row>
    <row r="45">
      <c r="A45" t="inlineStr">
        <is>
          <t>1995-04-01</t>
        </is>
      </c>
      <c r="B45" t="n">
        <v>6.154922915329015</v>
      </c>
      <c r="C45" t="n">
        <v>4.338620899869046</v>
      </c>
      <c r="D45" t="n">
        <v>1.704741093033164</v>
      </c>
      <c r="E45" t="n">
        <v>2.997803456281143</v>
      </c>
      <c r="F45" t="n">
        <v>1.571041204638804</v>
      </c>
      <c r="G45" t="n">
        <v>1.87528387769992</v>
      </c>
    </row>
    <row r="46">
      <c r="A46" t="inlineStr">
        <is>
          <t>1995-07-01</t>
        </is>
      </c>
      <c r="B46" t="n">
        <v>6.150797251697539</v>
      </c>
      <c r="C46" t="n">
        <v>4.304575725715189</v>
      </c>
      <c r="D46" t="n">
        <v>1.491404765184769</v>
      </c>
      <c r="E46" t="n">
        <v>2.880054244847584</v>
      </c>
      <c r="F46" t="n">
        <v>1.379718668744595</v>
      </c>
      <c r="G46" t="n">
        <v>1.784297042650388</v>
      </c>
    </row>
    <row r="47">
      <c r="A47" t="inlineStr">
        <is>
          <t>1995-10-01</t>
        </is>
      </c>
      <c r="B47" t="n">
        <v>6.013594110727103</v>
      </c>
      <c r="C47" t="n">
        <v>4.30690845679166</v>
      </c>
      <c r="D47" t="n">
        <v>1.322345080688932</v>
      </c>
      <c r="E47" t="n">
        <v>2.73342833465699</v>
      </c>
      <c r="F47" t="n">
        <v>1.196163435090273</v>
      </c>
      <c r="G47" t="n">
        <v>1.73253761969815</v>
      </c>
    </row>
    <row r="48">
      <c r="A48" t="inlineStr">
        <is>
          <t>1996-01-01</t>
        </is>
      </c>
      <c r="B48" t="n">
        <v>5.988315912811881</v>
      </c>
      <c r="C48" t="n">
        <v>4.242308896020484</v>
      </c>
      <c r="D48" t="n">
        <v>1.050572026975777</v>
      </c>
      <c r="E48" t="n">
        <v>2.539727728191586</v>
      </c>
      <c r="F48" t="n">
        <v>1.008552784202407</v>
      </c>
      <c r="G48" t="n">
        <v>1.656925354473064</v>
      </c>
    </row>
    <row r="49">
      <c r="A49" t="inlineStr">
        <is>
          <t>1996-04-01</t>
        </is>
      </c>
      <c r="B49" t="n">
        <v>5.892895770623339</v>
      </c>
      <c r="C49" t="n">
        <v>4.051898942214991</v>
      </c>
      <c r="D49" t="n">
        <v>1.086320511287511</v>
      </c>
      <c r="E49" t="n">
        <v>2.50810546269827</v>
      </c>
      <c r="F49" t="n">
        <v>0.8684385258352098</v>
      </c>
      <c r="G49" t="n">
        <v>1.633526691737069</v>
      </c>
    </row>
    <row r="50">
      <c r="A50" t="inlineStr">
        <is>
          <t>1996-07-01</t>
        </is>
      </c>
      <c r="B50" t="n">
        <v>5.772710773175526</v>
      </c>
      <c r="C50" t="n">
        <v>3.696324637826146</v>
      </c>
      <c r="D50" t="n">
        <v>0.6348547283461905</v>
      </c>
      <c r="E50" t="n">
        <v>2.097092798065483</v>
      </c>
      <c r="F50" t="n">
        <v>0.655300100846562</v>
      </c>
      <c r="G50" t="n">
        <v>1.526251187358173</v>
      </c>
    </row>
    <row r="51">
      <c r="A51" t="inlineStr">
        <is>
          <t>1996-10-01</t>
        </is>
      </c>
      <c r="B51" t="n">
        <v>5.764429135264754</v>
      </c>
      <c r="C51" t="n">
        <v>3.441970712369684</v>
      </c>
      <c r="D51" t="n">
        <v>0.5620990874913391</v>
      </c>
      <c r="E51" t="n">
        <v>1.912575513957401</v>
      </c>
      <c r="F51" t="n">
        <v>0.5228782058396817</v>
      </c>
      <c r="G51" t="n">
        <v>1.47109389583724</v>
      </c>
    </row>
    <row r="52">
      <c r="A52" t="inlineStr">
        <is>
          <t>1997-01-01</t>
        </is>
      </c>
      <c r="B52" t="n">
        <v>5.550443406545445</v>
      </c>
      <c r="C52" t="n">
        <v>3.070883344814184</v>
      </c>
      <c r="D52" t="n">
        <v>0.4628541247227549</v>
      </c>
      <c r="E52" t="n">
        <v>1.625342326470811</v>
      </c>
      <c r="F52" t="n">
        <v>0.4490838520925613</v>
      </c>
      <c r="G52" t="n">
        <v>1.428488171827936</v>
      </c>
    </row>
    <row r="53">
      <c r="A53" t="inlineStr">
        <is>
          <t>1997-04-01</t>
        </is>
      </c>
      <c r="B53" t="n">
        <v>5.608909959658908</v>
      </c>
      <c r="C53" t="n">
        <v>2.709722233334005</v>
      </c>
      <c r="D53" t="n">
        <v>0.6211810791305082</v>
      </c>
      <c r="E53" t="n">
        <v>1.517017588376338</v>
      </c>
      <c r="F53" t="n">
        <v>0.454463735476147</v>
      </c>
      <c r="G53" t="n">
        <v>1.440188556310094</v>
      </c>
    </row>
    <row r="54">
      <c r="A54" t="inlineStr">
        <is>
          <t>1997-07-01</t>
        </is>
      </c>
      <c r="B54" t="n">
        <v>5.37197214248043</v>
      </c>
      <c r="C54" t="n">
        <v>2.276067793954716</v>
      </c>
      <c r="D54" t="n">
        <v>0.4873880857458494</v>
      </c>
      <c r="E54" t="n">
        <v>1.232092456694523</v>
      </c>
      <c r="F54" t="n">
        <v>0.4029686959126513</v>
      </c>
      <c r="G54" t="n">
        <v>1.377549582319353</v>
      </c>
    </row>
    <row r="55">
      <c r="A55" t="inlineStr">
        <is>
          <t>1997-10-01</t>
        </is>
      </c>
      <c r="B55" t="n">
        <v>5.407088734267242</v>
      </c>
      <c r="C55" t="n">
        <v>1.720832371682023</v>
      </c>
      <c r="D55" t="n">
        <v>0.485607037501771</v>
      </c>
      <c r="E55" t="n">
        <v>0.8467847136622315</v>
      </c>
      <c r="F55" t="n">
        <v>0.398509007205455</v>
      </c>
      <c r="G55" t="n">
        <v>1.374676174414688</v>
      </c>
    </row>
    <row r="56">
      <c r="A56" t="inlineStr">
        <is>
          <t>1998-01-01</t>
        </is>
      </c>
      <c r="B56" t="n">
        <v>5.231441368930131</v>
      </c>
      <c r="C56" t="n">
        <v>1.317788666911444</v>
      </c>
      <c r="D56" t="n">
        <v>0.570030111743757</v>
      </c>
      <c r="E56" t="n">
        <v>0.8194365997458497</v>
      </c>
      <c r="F56" t="n">
        <v>0.3848914126047341</v>
      </c>
      <c r="G56" t="n">
        <v>1.340818244240275</v>
      </c>
    </row>
    <row r="57">
      <c r="A57" t="inlineStr">
        <is>
          <t>1998-04-01</t>
        </is>
      </c>
      <c r="B57" t="n">
        <v>5.269749856521643</v>
      </c>
      <c r="C57" t="n">
        <v>1.007062490969231</v>
      </c>
      <c r="D57" t="n">
        <v>0.318195257880507</v>
      </c>
      <c r="E57" t="n">
        <v>0.6262304234971394</v>
      </c>
      <c r="F57" t="n">
        <v>0.3364683087588321</v>
      </c>
      <c r="G57" t="n">
        <v>1.267937195043732</v>
      </c>
    </row>
    <row r="58">
      <c r="A58" t="inlineStr">
        <is>
          <t>1998-07-01</t>
        </is>
      </c>
      <c r="B58" t="n">
        <v>5.09100294422569</v>
      </c>
      <c r="C58" t="n">
        <v>0.9925969653306213</v>
      </c>
      <c r="D58" t="n">
        <v>0.5040650250824136</v>
      </c>
      <c r="E58" t="n">
        <v>0.7048441617266683</v>
      </c>
      <c r="F58" t="n">
        <v>0.4397369212510494</v>
      </c>
      <c r="G58" t="n">
        <v>1.331217345815349</v>
      </c>
    </row>
    <row r="59">
      <c r="A59" t="inlineStr">
        <is>
          <t>1998-10-01</t>
        </is>
      </c>
      <c r="B59" t="n">
        <v>5.162661427437894</v>
      </c>
      <c r="C59" t="n">
        <v>1.1758281525568</v>
      </c>
      <c r="D59" t="n">
        <v>0.5246826353432398</v>
      </c>
      <c r="E59" t="n">
        <v>0.8223353567172649</v>
      </c>
      <c r="F59" t="n">
        <v>0.5208970076517452</v>
      </c>
      <c r="G59" t="n">
        <v>1.325438934387741</v>
      </c>
    </row>
    <row r="60">
      <c r="A60" t="inlineStr">
        <is>
          <t>1999-01-01</t>
        </is>
      </c>
      <c r="B60" t="n">
        <v>5.034166652427308</v>
      </c>
      <c r="C60" t="n">
        <v>1.347992533207764</v>
      </c>
      <c r="D60" t="n">
        <v>0.8109524055052765</v>
      </c>
      <c r="E60" t="n">
        <v>1.153259883189621</v>
      </c>
      <c r="F60" t="n">
        <v>0.6416215230266331</v>
      </c>
      <c r="G60" t="n">
        <v>1.372223295082146</v>
      </c>
    </row>
    <row r="61">
      <c r="A61" t="inlineStr">
        <is>
          <t>1999-04-01</t>
        </is>
      </c>
      <c r="B61" t="n">
        <v>5.000996341626946</v>
      </c>
      <c r="C61" t="n">
        <v>1.42476320133418</v>
      </c>
      <c r="D61" t="n">
        <v>0.9560873437810062</v>
      </c>
      <c r="E61" t="n">
        <v>1.070172831311705</v>
      </c>
      <c r="F61" t="n">
        <v>0.7135422013133901</v>
      </c>
      <c r="G61" t="n">
        <v>1.420018786277419</v>
      </c>
    </row>
    <row r="62">
      <c r="A62" t="inlineStr">
        <is>
          <t>1999-07-01</t>
        </is>
      </c>
      <c r="B62" t="n">
        <v>5.025695571537617</v>
      </c>
      <c r="C62" t="n">
        <v>1.576578367406628</v>
      </c>
      <c r="D62" t="n">
        <v>0.7949410913926215</v>
      </c>
      <c r="E62" t="n">
        <v>1.085409747626672</v>
      </c>
      <c r="F62" t="n">
        <v>0.6526824713541918</v>
      </c>
      <c r="G62" t="n">
        <v>1.355628657650077</v>
      </c>
    </row>
    <row r="63">
      <c r="A63" t="inlineStr">
        <is>
          <t>1999-10-01</t>
        </is>
      </c>
      <c r="B63" t="n">
        <v>4.857406338913068</v>
      </c>
      <c r="C63" t="n">
        <v>1.826234276944778</v>
      </c>
      <c r="D63" t="n">
        <v>0.6741001201553894</v>
      </c>
      <c r="E63" t="n">
        <v>0.8584600460611727</v>
      </c>
      <c r="F63" t="n">
        <v>0.5686696269729374</v>
      </c>
      <c r="G63" t="n">
        <v>1.32878998170029</v>
      </c>
    </row>
    <row r="64">
      <c r="A64" t="inlineStr">
        <is>
          <t>2000-01-01</t>
        </is>
      </c>
      <c r="B64" t="n">
        <v>5.006858473330797</v>
      </c>
      <c r="C64" t="n">
        <v>2.107707948640853</v>
      </c>
      <c r="D64" t="n">
        <v>0.5329550541848663</v>
      </c>
      <c r="E64" t="n">
        <v>1.008338432461533</v>
      </c>
      <c r="F64" t="n">
        <v>0.5044990349786967</v>
      </c>
      <c r="G64" t="n">
        <v>1.270928512951544</v>
      </c>
    </row>
    <row r="65">
      <c r="A65" t="inlineStr">
        <is>
          <t>2000-04-01</t>
        </is>
      </c>
      <c r="B65" t="n">
        <v>4.818893723453647</v>
      </c>
      <c r="C65" t="n">
        <v>2.341137753719673</v>
      </c>
      <c r="D65" t="n">
        <v>0.7023895273318318</v>
      </c>
      <c r="E65" t="n">
        <v>1.366472098977758</v>
      </c>
      <c r="F65" t="n">
        <v>0.5495238879618021</v>
      </c>
      <c r="G65" t="n">
        <v>1.319407996422165</v>
      </c>
    </row>
    <row r="66">
      <c r="A66" t="inlineStr">
        <is>
          <t>2000-07-01</t>
        </is>
      </c>
      <c r="B66" t="n">
        <v>4.952113702924095</v>
      </c>
      <c r="C66" t="n">
        <v>2.353684977478471</v>
      </c>
      <c r="D66" t="n">
        <v>0.6995739312996079</v>
      </c>
      <c r="E66" t="n">
        <v>1.622021820328278</v>
      </c>
      <c r="F66" t="n">
        <v>0.6014339100064724</v>
      </c>
      <c r="G66" t="n">
        <v>1.356459531664914</v>
      </c>
    </row>
    <row r="67">
      <c r="A67" t="inlineStr">
        <is>
          <t>2000-10-01</t>
        </is>
      </c>
      <c r="B67" t="n">
        <v>4.798868404034876</v>
      </c>
      <c r="C67" t="n">
        <v>2.394574126944853</v>
      </c>
      <c r="D67" t="n">
        <v>0.720768713642959</v>
      </c>
      <c r="E67" t="n">
        <v>1.811860405396924</v>
      </c>
      <c r="F67" t="n">
        <v>0.6235107719057116</v>
      </c>
      <c r="G67" t="n">
        <v>1.372443112056659</v>
      </c>
    </row>
    <row r="68">
      <c r="A68" t="inlineStr">
        <is>
          <t>2001-01-01</t>
        </is>
      </c>
      <c r="B68" t="n">
        <v>4.880310844686691</v>
      </c>
      <c r="C68" t="n">
        <v>2.628302951774266</v>
      </c>
      <c r="D68" t="n">
        <v>0.758482648265011</v>
      </c>
      <c r="E68" t="n">
        <v>1.917231540912764</v>
      </c>
      <c r="F68" t="n">
        <v>0.6121712553577709</v>
      </c>
      <c r="G68" t="n">
        <v>1.388505287450641</v>
      </c>
    </row>
    <row r="69">
      <c r="A69" t="inlineStr">
        <is>
          <t>2001-04-01</t>
        </is>
      </c>
      <c r="B69" t="n">
        <v>4.755243248417576</v>
      </c>
      <c r="C69" t="n">
        <v>2.853001924070774</v>
      </c>
      <c r="D69" t="n">
        <v>0.6732465458125837</v>
      </c>
      <c r="E69" t="n">
        <v>1.820924267488484</v>
      </c>
      <c r="F69" t="n">
        <v>0.5174824472165984</v>
      </c>
      <c r="G69" t="n">
        <v>1.349937079146502</v>
      </c>
    </row>
    <row r="70">
      <c r="A70" t="inlineStr">
        <is>
          <t>2001-07-01</t>
        </is>
      </c>
      <c r="B70" t="n">
        <v>4.783968519600631</v>
      </c>
      <c r="C70" t="n">
        <v>3.12057877752729</v>
      </c>
      <c r="D70" t="n">
        <v>0.4845333458365886</v>
      </c>
      <c r="E70" t="n">
        <v>1.775317989088564</v>
      </c>
      <c r="F70" t="n">
        <v>0.3904986690752497</v>
      </c>
      <c r="G70" t="n">
        <v>1.279601324041914</v>
      </c>
    </row>
    <row r="71">
      <c r="A71" t="inlineStr">
        <is>
          <t>2001-10-01</t>
        </is>
      </c>
      <c r="B71" t="n">
        <v>4.742277699124286</v>
      </c>
      <c r="C71" t="n">
        <v>3.250470808768119</v>
      </c>
      <c r="D71" t="n">
        <v>0.4122111402456677</v>
      </c>
      <c r="E71" t="n">
        <v>1.889348516961033</v>
      </c>
      <c r="F71" t="n">
        <v>0.3369049471243002</v>
      </c>
      <c r="G71" t="n">
        <v>1.283225309737116</v>
      </c>
    </row>
    <row r="72">
      <c r="A72" t="inlineStr">
        <is>
          <t>2002-01-01</t>
        </is>
      </c>
      <c r="B72" t="n">
        <v>4.662307903149032</v>
      </c>
      <c r="C72" t="n">
        <v>3.121628351682665</v>
      </c>
      <c r="D72" t="n">
        <v>0.257205782561179</v>
      </c>
      <c r="E72" t="n">
        <v>1.703084454387932</v>
      </c>
      <c r="F72" t="n">
        <v>0.2981786211740094</v>
      </c>
      <c r="G72" t="n">
        <v>1.27591694011866</v>
      </c>
    </row>
    <row r="73">
      <c r="A73" t="inlineStr">
        <is>
          <t>2002-04-01</t>
        </is>
      </c>
      <c r="B73" t="n">
        <v>4.662416829050211</v>
      </c>
      <c r="C73" t="n">
        <v>2.90185320953148</v>
      </c>
      <c r="D73" t="n">
        <v>0.3346029869575717</v>
      </c>
      <c r="E73" t="n">
        <v>1.585907367007084</v>
      </c>
      <c r="F73" t="n">
        <v>0.3053057803724155</v>
      </c>
      <c r="G73" t="n">
        <v>1.276968318505342</v>
      </c>
    </row>
    <row r="74">
      <c r="A74" t="inlineStr">
        <is>
          <t>2002-07-01</t>
        </is>
      </c>
      <c r="B74" t="n">
        <v>4.573525494990053</v>
      </c>
      <c r="C74" t="n">
        <v>2.901484131366465</v>
      </c>
      <c r="D74" t="n">
        <v>0.3768848095172066</v>
      </c>
      <c r="E74" t="n">
        <v>1.61482986577838</v>
      </c>
      <c r="F74" t="n">
        <v>0.3215370651356093</v>
      </c>
      <c r="G74" t="n">
        <v>1.26475821959155</v>
      </c>
    </row>
    <row r="75">
      <c r="A75" t="inlineStr">
        <is>
          <t>2002-10-01</t>
        </is>
      </c>
      <c r="B75" t="n">
        <v>4.564219597996876</v>
      </c>
      <c r="C75" t="n">
        <v>3.103601656273432</v>
      </c>
      <c r="D75" t="n">
        <v>0.4130349366024523</v>
      </c>
      <c r="E75" t="n">
        <v>1.751072504166014</v>
      </c>
      <c r="F75" t="n">
        <v>0.358631704188784</v>
      </c>
      <c r="G75" t="n">
        <v>1.265394428798179</v>
      </c>
    </row>
    <row r="76">
      <c r="A76" t="inlineStr">
        <is>
          <t>2003-01-01</t>
        </is>
      </c>
      <c r="B76" t="n">
        <v>4.511244145479952</v>
      </c>
      <c r="C76" t="n">
        <v>3.438855543644289</v>
      </c>
      <c r="D76" t="n">
        <v>0.5742687791503414</v>
      </c>
      <c r="E76" t="n">
        <v>2.053249323142156</v>
      </c>
      <c r="F76" t="n">
        <v>0.4292704798117601</v>
      </c>
      <c r="G76" t="n">
        <v>1.302490914314373</v>
      </c>
    </row>
    <row r="77">
      <c r="A77" t="inlineStr">
        <is>
          <t>2003-04-01</t>
        </is>
      </c>
      <c r="B77" t="n">
        <v>4.425869325029661</v>
      </c>
      <c r="C77" t="n">
        <v>3.536130328186476</v>
      </c>
      <c r="D77" t="n">
        <v>0.5910113178544891</v>
      </c>
      <c r="E77" t="n">
        <v>2.094415417628501</v>
      </c>
      <c r="F77" t="n">
        <v>0.4424447947830455</v>
      </c>
      <c r="G77" t="n">
        <v>1.300171092238846</v>
      </c>
    </row>
    <row r="78">
      <c r="A78" t="inlineStr">
        <is>
          <t>2003-07-01</t>
        </is>
      </c>
      <c r="B78" t="n">
        <v>4.418960623911173</v>
      </c>
      <c r="C78" t="n">
        <v>3.535153842946401</v>
      </c>
      <c r="D78" t="n">
        <v>0.5067571134551098</v>
      </c>
      <c r="E78" t="n">
        <v>2.04053981114036</v>
      </c>
      <c r="F78" t="n">
        <v>0.4143563428121543</v>
      </c>
      <c r="G78" t="n">
        <v>1.267413664832651</v>
      </c>
    </row>
    <row r="79">
      <c r="A79" t="inlineStr">
        <is>
          <t>2003-10-01</t>
        </is>
      </c>
      <c r="B79" t="n">
        <v>4.259415625489864</v>
      </c>
      <c r="C79" t="n">
        <v>3.382521702800955</v>
      </c>
      <c r="D79" t="n">
        <v>0.526828111835055</v>
      </c>
      <c r="E79" t="n">
        <v>1.867785830177252</v>
      </c>
      <c r="F79" t="n">
        <v>0.3885689794182786</v>
      </c>
      <c r="G79" t="n">
        <v>1.241351262849936</v>
      </c>
    </row>
    <row r="80">
      <c r="A80" t="inlineStr">
        <is>
          <t>2004-01-01</t>
        </is>
      </c>
      <c r="B80" t="n">
        <v>4.283177616854753</v>
      </c>
      <c r="C80" t="n">
        <v>3.20441941147292</v>
      </c>
      <c r="D80" t="n">
        <v>0.4480690691109294</v>
      </c>
      <c r="E80" t="n">
        <v>1.760318069715049</v>
      </c>
      <c r="F80" t="n">
        <v>0.3793867533922679</v>
      </c>
      <c r="G80" t="n">
        <v>1.218106354756782</v>
      </c>
    </row>
    <row r="81">
      <c r="A81" t="inlineStr">
        <is>
          <t>2004-04-01</t>
        </is>
      </c>
      <c r="B81" t="n">
        <v>4.129376803672298</v>
      </c>
      <c r="C81" t="n">
        <v>2.97460589334654</v>
      </c>
      <c r="D81" t="n">
        <v>0.4554274363994433</v>
      </c>
      <c r="E81" t="n">
        <v>1.667254618325173</v>
      </c>
      <c r="F81" t="n">
        <v>0.3837324159548356</v>
      </c>
      <c r="G81" t="n">
        <v>1.204860973037351</v>
      </c>
    </row>
    <row r="82">
      <c r="A82" t="inlineStr">
        <is>
          <t>2004-07-01</t>
        </is>
      </c>
      <c r="B82" t="n">
        <v>4.077102807181874</v>
      </c>
      <c r="C82" t="n">
        <v>2.790768159302371</v>
      </c>
      <c r="D82" t="n">
        <v>0.5110373671358827</v>
      </c>
      <c r="E82" t="n">
        <v>1.45460022420902</v>
      </c>
      <c r="F82" t="n">
        <v>0.3912813051830391</v>
      </c>
      <c r="G82" t="n">
        <v>1.180926705347345</v>
      </c>
    </row>
    <row r="83">
      <c r="A83" t="inlineStr">
        <is>
          <t>2004-10-01</t>
        </is>
      </c>
      <c r="B83" t="n">
        <v>4.016340669975331</v>
      </c>
      <c r="C83" t="n">
        <v>2.531834509173484</v>
      </c>
      <c r="D83" t="n">
        <v>0.387574320843512</v>
      </c>
      <c r="E83" t="n">
        <v>1.236271470329326</v>
      </c>
      <c r="F83" t="n">
        <v>0.414459060946781</v>
      </c>
      <c r="G83" t="n">
        <v>1.144028755241577</v>
      </c>
    </row>
    <row r="84">
      <c r="A84" t="inlineStr">
        <is>
          <t>2005-01-01</t>
        </is>
      </c>
      <c r="B84" t="n">
        <v>3.863240980974439</v>
      </c>
      <c r="C84" t="n">
        <v>1.964973011619431</v>
      </c>
      <c r="D84" t="n">
        <v>0.6889088849880917</v>
      </c>
      <c r="E84" t="n">
        <v>1.091349402659616</v>
      </c>
      <c r="F84" t="n">
        <v>0.5208698261089388</v>
      </c>
      <c r="G84" t="n">
        <v>1.179382657089506</v>
      </c>
    </row>
    <row r="85">
      <c r="A85" t="inlineStr">
        <is>
          <t>2005-04-01</t>
        </is>
      </c>
      <c r="B85" t="n">
        <v>3.882319030079964</v>
      </c>
      <c r="C85" t="n">
        <v>1.683617076343229</v>
      </c>
      <c r="D85" t="n">
        <v>0.6937629442133514</v>
      </c>
      <c r="E85" t="n">
        <v>0.9160570744739444</v>
      </c>
      <c r="F85" t="n">
        <v>0.595623564505366</v>
      </c>
      <c r="G85" t="n">
        <v>1.152126795423574</v>
      </c>
    </row>
    <row r="86">
      <c r="A86" t="inlineStr">
        <is>
          <t>2005-07-01</t>
        </is>
      </c>
      <c r="B86" t="n">
        <v>3.712322378359337</v>
      </c>
      <c r="C86" t="n">
        <v>1.441110941078366</v>
      </c>
      <c r="D86" t="n">
        <v>0.8380883117531089</v>
      </c>
      <c r="E86" t="n">
        <v>0.8280805904457471</v>
      </c>
      <c r="F86" t="n">
        <v>0.7037976841985577</v>
      </c>
      <c r="G86" t="n">
        <v>1.172487782239502</v>
      </c>
    </row>
    <row r="87">
      <c r="A87" t="inlineStr">
        <is>
          <t>2005-10-01</t>
        </is>
      </c>
      <c r="B87" t="n">
        <v>3.712080020352238</v>
      </c>
      <c r="C87" t="n">
        <v>1.014035510384044</v>
      </c>
      <c r="D87" t="n">
        <v>1.079876084825063</v>
      </c>
      <c r="E87" t="n">
        <v>0.8014028532645103</v>
      </c>
      <c r="F87" t="n">
        <v>0.799747875207138</v>
      </c>
      <c r="G87" t="n">
        <v>1.19265121574437</v>
      </c>
    </row>
    <row r="88">
      <c r="A88" t="inlineStr">
        <is>
          <t>2006-01-01</t>
        </is>
      </c>
      <c r="B88" t="n">
        <v>3.637053842916727</v>
      </c>
      <c r="C88" t="n">
        <v>0.6638358773238333</v>
      </c>
      <c r="D88" t="n">
        <v>1.010292641693127</v>
      </c>
      <c r="E88" t="n">
        <v>0.855717814515375</v>
      </c>
      <c r="F88" t="n">
        <v>0.8102339311615434</v>
      </c>
      <c r="G88" t="n">
        <v>1.179203107348328</v>
      </c>
    </row>
    <row r="89">
      <c r="A89" t="inlineStr">
        <is>
          <t>2006-04-01</t>
        </is>
      </c>
      <c r="B89" t="n">
        <v>3.557286029545919</v>
      </c>
      <c r="C89" t="n">
        <v>0.7037338075042538</v>
      </c>
      <c r="D89" t="n">
        <v>0.9865631496087736</v>
      </c>
      <c r="E89" t="n">
        <v>0.7736905465344908</v>
      </c>
      <c r="F89" t="n">
        <v>0.7199235494836425</v>
      </c>
      <c r="G89" t="n">
        <v>1.127662085896189</v>
      </c>
    </row>
    <row r="90">
      <c r="A90" t="inlineStr">
        <is>
          <t>2006-07-01</t>
        </is>
      </c>
      <c r="B90" t="n">
        <v>3.552797255732881</v>
      </c>
      <c r="C90" t="n">
        <v>0.8157514841612036</v>
      </c>
      <c r="D90" t="n">
        <v>0.7074557028418113</v>
      </c>
      <c r="E90" t="n">
        <v>0.686001836611013</v>
      </c>
      <c r="F90" t="n">
        <v>0.5779823252459139</v>
      </c>
      <c r="G90" t="n">
        <v>1.061802960692396</v>
      </c>
    </row>
    <row r="91">
      <c r="A91" t="inlineStr">
        <is>
          <t>2006-10-01</t>
        </is>
      </c>
      <c r="B91" t="n">
        <v>3.471784086941881</v>
      </c>
      <c r="C91" t="n">
        <v>0.8302924067433082</v>
      </c>
      <c r="D91" t="n">
        <v>0.4958195715324819</v>
      </c>
      <c r="E91" t="n">
        <v>0.6640681971732972</v>
      </c>
      <c r="F91" t="n">
        <v>0.423917227520465</v>
      </c>
      <c r="G91" t="n">
        <v>1.008453815431574</v>
      </c>
    </row>
    <row r="92">
      <c r="A92" t="inlineStr">
        <is>
          <t>2007-01-01</t>
        </is>
      </c>
      <c r="B92" t="n">
        <v>3.454938915398736</v>
      </c>
      <c r="C92" t="n">
        <v>0.7129799824434583</v>
      </c>
      <c r="D92" t="n">
        <v>0.2919364123760311</v>
      </c>
      <c r="E92" t="n">
        <v>0.5937497695527264</v>
      </c>
      <c r="F92" t="n">
        <v>0.2675430613242052</v>
      </c>
      <c r="G92" t="n">
        <v>0.92638565229176</v>
      </c>
    </row>
    <row r="93">
      <c r="A93" t="inlineStr">
        <is>
          <t>2007-04-01</t>
        </is>
      </c>
      <c r="B93" t="n">
        <v>3.414239316905971</v>
      </c>
      <c r="C93" t="n">
        <v>0.7232480684296008</v>
      </c>
      <c r="D93" t="n">
        <v>0.2539379711490341</v>
      </c>
      <c r="E93" t="n">
        <v>0.5763884524635819</v>
      </c>
      <c r="F93" t="n">
        <v>0.2166708526016344</v>
      </c>
      <c r="G93" t="n">
        <v>0.9243886130906944</v>
      </c>
    </row>
    <row r="94">
      <c r="A94" t="inlineStr">
        <is>
          <t>2007-07-01</t>
        </is>
      </c>
      <c r="B94" t="n">
        <v>3.362217281196049</v>
      </c>
      <c r="C94" t="n">
        <v>0.6377104287724827</v>
      </c>
      <c r="D94" t="n">
        <v>0.2971099158907077</v>
      </c>
      <c r="E94" t="n">
        <v>0.4902380515349329</v>
      </c>
      <c r="F94" t="n">
        <v>0.2049322452727048</v>
      </c>
      <c r="G94" t="n">
        <v>0.9273101090624126</v>
      </c>
    </row>
    <row r="95">
      <c r="A95" t="inlineStr">
        <is>
          <t>2007-10-01</t>
        </is>
      </c>
      <c r="B95" t="n">
        <v>3.353021609820368</v>
      </c>
      <c r="C95" t="n">
        <v>0.4564522784397875</v>
      </c>
      <c r="D95" t="n">
        <v>0.228946982651391</v>
      </c>
      <c r="E95" t="n">
        <v>0.3790265644464192</v>
      </c>
      <c r="F95" t="n">
        <v>0.1896295834067013</v>
      </c>
      <c r="G95" t="n">
        <v>0.883417502199347</v>
      </c>
    </row>
    <row r="96">
      <c r="A96" t="inlineStr">
        <is>
          <t>2008-01-01</t>
        </is>
      </c>
      <c r="B96" t="n">
        <v>3.323934996810048</v>
      </c>
      <c r="C96" t="n">
        <v>0.3481071014533794</v>
      </c>
      <c r="D96" t="n">
        <v>0.4009827101738313</v>
      </c>
      <c r="E96" t="n">
        <v>0.434250412215637</v>
      </c>
      <c r="F96" t="n">
        <v>0.2794313461645693</v>
      </c>
      <c r="G96" t="n">
        <v>0.9249506397108692</v>
      </c>
    </row>
    <row r="97">
      <c r="A97" t="inlineStr">
        <is>
          <t>2008-04-01</t>
        </is>
      </c>
      <c r="B97" t="n">
        <v>3.284433534985844</v>
      </c>
      <c r="C97" t="n">
        <v>0.3922205563642018</v>
      </c>
      <c r="D97" t="n">
        <v>0.5686215498052369</v>
      </c>
      <c r="E97" t="n">
        <v>0.3678774037802803</v>
      </c>
      <c r="F97" t="n">
        <v>0.3961244081819649</v>
      </c>
      <c r="G97" t="n">
        <v>0.9899461423030146</v>
      </c>
    </row>
    <row r="98">
      <c r="A98" t="inlineStr">
        <is>
          <t>2008-07-01</t>
        </is>
      </c>
      <c r="B98" t="n">
        <v>3.306550330350091</v>
      </c>
      <c r="C98" t="n">
        <v>0.5970435571655084</v>
      </c>
      <c r="D98" t="n">
        <v>0.5297993109000335</v>
      </c>
      <c r="E98" t="n">
        <v>0.4138586511133439</v>
      </c>
      <c r="F98" t="n">
        <v>0.4365533845921847</v>
      </c>
      <c r="G98" t="n">
        <v>0.949931244337244</v>
      </c>
    </row>
    <row r="99">
      <c r="A99" t="inlineStr">
        <is>
          <t>2008-10-01</t>
        </is>
      </c>
      <c r="B99" t="n">
        <v>3.288045348587909</v>
      </c>
      <c r="C99" t="n">
        <v>1.068880901339811</v>
      </c>
      <c r="D99" t="n">
        <v>0.7678211874745734</v>
      </c>
      <c r="E99" t="n">
        <v>0.7114654684873585</v>
      </c>
      <c r="F99" t="n">
        <v>0.5575640133661272</v>
      </c>
      <c r="G99" t="n">
        <v>1.021365755702493</v>
      </c>
    </row>
    <row r="100">
      <c r="A100" t="inlineStr">
        <is>
          <t>2009-01-01</t>
        </is>
      </c>
      <c r="B100" t="n">
        <v>3.283342541876892</v>
      </c>
      <c r="C100" t="n">
        <v>1.564191444425076</v>
      </c>
      <c r="D100" t="n">
        <v>0.9089260144326649</v>
      </c>
      <c r="E100" t="n">
        <v>1.057037474049476</v>
      </c>
      <c r="F100" t="n">
        <v>0.6424913063252455</v>
      </c>
      <c r="G100" t="n">
        <v>1.067439030365873</v>
      </c>
    </row>
    <row r="101">
      <c r="A101" t="inlineStr">
        <is>
          <t>2009-04-01</t>
        </is>
      </c>
      <c r="B101" t="n">
        <v>3.347713536855552</v>
      </c>
      <c r="C101" t="n">
        <v>2.059779724615975</v>
      </c>
      <c r="D101" t="n">
        <v>0.8964113708124131</v>
      </c>
      <c r="E101" t="n">
        <v>1.393696435996205</v>
      </c>
      <c r="F101" t="n">
        <v>0.6423992552765101</v>
      </c>
      <c r="G101" t="n">
        <v>1.090816759860976</v>
      </c>
    </row>
    <row r="102">
      <c r="A102" t="inlineStr">
        <is>
          <t>2009-07-01</t>
        </is>
      </c>
      <c r="B102" t="n">
        <v>3.239479421257382</v>
      </c>
      <c r="C102" t="n">
        <v>2.461805524120424</v>
      </c>
      <c r="D102" t="n">
        <v>0.6915887100894212</v>
      </c>
      <c r="E102" t="n">
        <v>1.39810966729493</v>
      </c>
      <c r="F102" t="n">
        <v>0.525402087435255</v>
      </c>
      <c r="G102" t="n">
        <v>1.043192727022712</v>
      </c>
    </row>
    <row r="103">
      <c r="A103" t="inlineStr">
        <is>
          <t>2009-10-01</t>
        </is>
      </c>
      <c r="B103" t="n">
        <v>3.360910666346919</v>
      </c>
      <c r="C103" t="n">
        <v>2.872972378926065</v>
      </c>
      <c r="D103" t="n">
        <v>0.362849899074352</v>
      </c>
      <c r="E103" t="n">
        <v>1.475812556184376</v>
      </c>
      <c r="F103" t="n">
        <v>0.4189291942686712</v>
      </c>
      <c r="G103" t="n">
        <v>1.002039891370994</v>
      </c>
    </row>
    <row r="104">
      <c r="A104" t="inlineStr">
        <is>
          <t>2010-01-01</t>
        </is>
      </c>
      <c r="B104" t="n">
        <v>3.274983120154736</v>
      </c>
      <c r="C104" t="n">
        <v>3.105341815730416</v>
      </c>
      <c r="D104" t="n">
        <v>0.5566612041240436</v>
      </c>
      <c r="E104" t="n">
        <v>1.862668888611061</v>
      </c>
      <c r="F104" t="n">
        <v>0.4081762782448485</v>
      </c>
      <c r="G104" t="n">
        <v>1.04938675487607</v>
      </c>
    </row>
    <row r="105">
      <c r="A105" t="inlineStr">
        <is>
          <t>2010-04-01</t>
        </is>
      </c>
      <c r="B105" t="n">
        <v>3.26939539846268</v>
      </c>
      <c r="C105" t="n">
        <v>3.083166369650499</v>
      </c>
      <c r="D105" t="n">
        <v>0.2992400570067346</v>
      </c>
      <c r="E105" t="n">
        <v>1.683630076288853</v>
      </c>
      <c r="F105" t="n">
        <v>0.3421561908719788</v>
      </c>
      <c r="G105" t="n">
        <v>1.005078785681796</v>
      </c>
    </row>
    <row r="106">
      <c r="A106" t="inlineStr">
        <is>
          <t>2010-07-01</t>
        </is>
      </c>
      <c r="B106" t="n">
        <v>3.311011050303563</v>
      </c>
      <c r="C106" t="n">
        <v>3.005945828236816</v>
      </c>
      <c r="D106" t="n">
        <v>0.505395781879699</v>
      </c>
      <c r="E106" t="n">
        <v>1.822144624667425</v>
      </c>
      <c r="F106" t="n">
        <v>0.3990910006344585</v>
      </c>
      <c r="G106" t="n">
        <v>1.046230702140816</v>
      </c>
    </row>
    <row r="107">
      <c r="A107" t="inlineStr">
        <is>
          <t>2010-10-01</t>
        </is>
      </c>
      <c r="B107" t="n">
        <v>3.141574397745611</v>
      </c>
      <c r="C107" t="n">
        <v>2.841785223715632</v>
      </c>
      <c r="D107" t="n">
        <v>0.6071906135403942</v>
      </c>
      <c r="E107" t="n">
        <v>1.676744199070987</v>
      </c>
      <c r="F107" t="n">
        <v>0.4653436755473681</v>
      </c>
      <c r="G107" t="n">
        <v>1.093962624655763</v>
      </c>
    </row>
    <row r="108">
      <c r="A108" t="inlineStr">
        <is>
          <t>2011-01-01</t>
        </is>
      </c>
      <c r="B108" t="n">
        <v>3.307933373222707</v>
      </c>
      <c r="C108" t="n">
        <v>2.754163931855459</v>
      </c>
      <c r="D108" t="n">
        <v>0.5287739772686008</v>
      </c>
      <c r="E108" t="n">
        <v>1.595957974422324</v>
      </c>
      <c r="F108" t="n">
        <v>0.4756835832034967</v>
      </c>
      <c r="G108" t="n">
        <v>1.057511129059411</v>
      </c>
    </row>
    <row r="109">
      <c r="A109" t="inlineStr">
        <is>
          <t>2011-04-01</t>
        </is>
      </c>
      <c r="B109" t="n">
        <v>3.037042267071246</v>
      </c>
      <c r="C109" t="n">
        <v>2.698189782939857</v>
      </c>
      <c r="D109" t="n">
        <v>0.8646300954457605</v>
      </c>
      <c r="E109" t="n">
        <v>1.655915230892556</v>
      </c>
      <c r="F109" t="n">
        <v>0.5435231427853148</v>
      </c>
      <c r="G109" t="n">
        <v>1.125176384039433</v>
      </c>
    </row>
    <row r="110">
      <c r="A110" t="inlineStr">
        <is>
          <t>2011-07-01</t>
        </is>
      </c>
      <c r="B110" t="n">
        <v>3.241677404590296</v>
      </c>
      <c r="C110" t="n">
        <v>2.70806103709835</v>
      </c>
      <c r="D110" t="n">
        <v>0.5858252134281365</v>
      </c>
      <c r="E110" t="n">
        <v>1.529969454826156</v>
      </c>
      <c r="F110" t="n">
        <v>0.4786841420692326</v>
      </c>
      <c r="G110" t="n">
        <v>1.068780062811051</v>
      </c>
    </row>
    <row r="111">
      <c r="A111" t="inlineStr">
        <is>
          <t>2011-10-01</t>
        </is>
      </c>
      <c r="B111" t="n">
        <v>2.99767432537356</v>
      </c>
      <c r="C111" t="n">
        <v>2.590289637646465</v>
      </c>
      <c r="D111" t="n">
        <v>0.5951470652502308</v>
      </c>
      <c r="E111" t="n">
        <v>1.535508226224914</v>
      </c>
      <c r="F111" t="n">
        <v>0.4149012540524001</v>
      </c>
      <c r="G111" t="n">
        <v>1.062383066535834</v>
      </c>
    </row>
    <row r="112">
      <c r="A112" t="inlineStr">
        <is>
          <t>2012-01-01</t>
        </is>
      </c>
      <c r="B112" t="n">
        <v>3.074572204072396</v>
      </c>
      <c r="C112" t="n">
        <v>2.313583563241426</v>
      </c>
      <c r="D112" t="n">
        <v>0.4825736250262792</v>
      </c>
      <c r="E112" t="n">
        <v>1.174042645099241</v>
      </c>
      <c r="F112" t="n">
        <v>0.2994387492648593</v>
      </c>
      <c r="G112" t="n">
        <v>1.040418652513206</v>
      </c>
    </row>
    <row r="113">
      <c r="A113" t="inlineStr">
        <is>
          <t>2012-04-01</t>
        </is>
      </c>
      <c r="B113" t="n">
        <v>2.97275350766573</v>
      </c>
      <c r="C113" t="n">
        <v>1.840870310635009</v>
      </c>
      <c r="D113" t="n">
        <v>0.1612387853924758</v>
      </c>
      <c r="E113" t="n">
        <v>1.057857207285009</v>
      </c>
      <c r="F113" t="n">
        <v>0.101612110381869</v>
      </c>
      <c r="G113" t="n">
        <v>0.923756718892184</v>
      </c>
    </row>
    <row r="114">
      <c r="A114" t="inlineStr">
        <is>
          <t>2012-07-01</t>
        </is>
      </c>
      <c r="B114" t="n">
        <v>2.951580632955861</v>
      </c>
      <c r="C114" t="n">
        <v>1.330659365221337</v>
      </c>
      <c r="D114" t="n">
        <v>0.1440467803237178</v>
      </c>
      <c r="E114" t="n">
        <v>0.9034433764748756</v>
      </c>
      <c r="F114" t="n">
        <v>-0.0377031667790361</v>
      </c>
      <c r="G114" t="n">
        <v>0.9234871592755874</v>
      </c>
    </row>
    <row r="115">
      <c r="A115" t="inlineStr">
        <is>
          <t>2012-10-01</t>
        </is>
      </c>
      <c r="B115" t="n">
        <v>2.87416968211653</v>
      </c>
      <c r="C115" t="n">
        <v>0.9829558910492396</v>
      </c>
      <c r="D115" t="n">
        <v>-0.2314064246007458</v>
      </c>
      <c r="E115" t="n">
        <v>0.4373336922937459</v>
      </c>
      <c r="F115" t="n">
        <v>-0.2525022275326455</v>
      </c>
      <c r="G115" t="n">
        <v>0.8018853395454383</v>
      </c>
    </row>
    <row r="116">
      <c r="A116" t="inlineStr">
        <is>
          <t>2013-01-01</t>
        </is>
      </c>
      <c r="B116" t="n">
        <v>2.838723016861138</v>
      </c>
      <c r="C116" t="n">
        <v>0.866542523987989</v>
      </c>
      <c r="D116" t="n">
        <v>-0.2218578307653281</v>
      </c>
      <c r="E116" t="n">
        <v>0.2117997952828956</v>
      </c>
      <c r="F116" t="n">
        <v>-0.3526861379104546</v>
      </c>
      <c r="G116" t="n">
        <v>0.7791950282539832</v>
      </c>
    </row>
    <row r="117">
      <c r="A117" t="inlineStr">
        <is>
          <t>2013-04-01</t>
        </is>
      </c>
      <c r="B117" t="n">
        <v>2.818562427854984</v>
      </c>
      <c r="C117" t="n">
        <v>0.8693147101724489</v>
      </c>
      <c r="D117" t="n">
        <v>-0.2437472439417947</v>
      </c>
      <c r="E117" t="n">
        <v>0.2282907217736549</v>
      </c>
      <c r="F117" t="n">
        <v>-0.4218055595695947</v>
      </c>
      <c r="G117" t="n">
        <v>0.7520351271891969</v>
      </c>
    </row>
    <row r="118">
      <c r="A118" t="inlineStr">
        <is>
          <t>2013-07-01</t>
        </is>
      </c>
      <c r="B118" t="n">
        <v>2.740346047119931</v>
      </c>
      <c r="C118" t="n">
        <v>0.7110049656858907</v>
      </c>
      <c r="D118" t="n">
        <v>-0.3757615809815339</v>
      </c>
      <c r="E118" t="n">
        <v>0.0912181820870441</v>
      </c>
      <c r="F118" t="n">
        <v>-0.4900699510794625</v>
      </c>
      <c r="G118" t="n">
        <v>0.7349911796272339</v>
      </c>
    </row>
    <row r="119">
      <c r="A119" t="inlineStr">
        <is>
          <t>2013-10-01</t>
        </is>
      </c>
      <c r="B119" t="n">
        <v>2.769916321483918</v>
      </c>
      <c r="C119" t="n">
        <v>0.6290801277538643</v>
      </c>
      <c r="D119" t="n">
        <v>-0.4444644377880078</v>
      </c>
      <c r="E119" t="n">
        <v>0.093233526111419</v>
      </c>
      <c r="F119" t="n">
        <v>-0.5504041852412194</v>
      </c>
      <c r="G119" t="n">
        <v>0.702574224480715</v>
      </c>
    </row>
    <row r="120">
      <c r="A120" t="inlineStr">
        <is>
          <t>2014-01-01</t>
        </is>
      </c>
      <c r="B120" t="n">
        <v>2.662622074457708</v>
      </c>
      <c r="C120" t="n">
        <v>0.5909322728302236</v>
      </c>
      <c r="D120" t="n">
        <v>-0.6266542058852591</v>
      </c>
      <c r="E120" t="n">
        <v>0.000268880154808</v>
      </c>
      <c r="F120" t="n">
        <v>-0.5829142779201568</v>
      </c>
      <c r="G120" t="n">
        <v>0.67619647715369</v>
      </c>
    </row>
    <row r="121">
      <c r="A121" t="inlineStr">
        <is>
          <t>2014-04-01</t>
        </is>
      </c>
      <c r="B121" t="n">
        <v>2.742316541379106</v>
      </c>
      <c r="C121" t="n">
        <v>0.6805409907368843</v>
      </c>
      <c r="D121" t="n">
        <v>-0.3269092432107731</v>
      </c>
      <c r="E121" t="n">
        <v>0.2183534596673715</v>
      </c>
      <c r="F121" t="n">
        <v>-0.5074031979920904</v>
      </c>
      <c r="G121" t="n">
        <v>0.7412206375448884</v>
      </c>
    </row>
    <row r="122">
      <c r="A122" t="inlineStr">
        <is>
          <t>2014-07-01</t>
        </is>
      </c>
      <c r="B122" t="n">
        <v>2.59388841020132</v>
      </c>
      <c r="C122" t="n">
        <v>0.5031707510237697</v>
      </c>
      <c r="D122" t="n">
        <v>-0.4070155996838405</v>
      </c>
      <c r="E122" t="n">
        <v>-0.0725085524176057</v>
      </c>
      <c r="F122" t="n">
        <v>-0.5138989804781875</v>
      </c>
      <c r="G122" t="n">
        <v>0.7120605779921423</v>
      </c>
    </row>
    <row r="123">
      <c r="A123" t="inlineStr">
        <is>
          <t>2014-10-01</t>
        </is>
      </c>
      <c r="B123" t="n">
        <v>2.665533644013833</v>
      </c>
      <c r="C123" t="n">
        <v>0.4157669682562659</v>
      </c>
      <c r="D123" t="n">
        <v>-0.2233411957606645</v>
      </c>
      <c r="E123" t="n">
        <v>-0.1139943924937726</v>
      </c>
      <c r="F123" t="n">
        <v>-0.4747799521890619</v>
      </c>
      <c r="G123" t="n">
        <v>0.7527874726141041</v>
      </c>
    </row>
    <row r="124">
      <c r="A124" t="inlineStr">
        <is>
          <t>2015-01-01</t>
        </is>
      </c>
      <c r="B124" t="n">
        <v>2.628797676472646</v>
      </c>
      <c r="C124" t="n">
        <v>0.6129330759213969</v>
      </c>
      <c r="D124" t="n">
        <v>-0.4483130630134957</v>
      </c>
      <c r="E124" t="n">
        <v>-0.069440064713297</v>
      </c>
      <c r="F124" t="n">
        <v>-0.5447865583979796</v>
      </c>
      <c r="G124" t="n">
        <v>0.6961028586502783</v>
      </c>
    </row>
    <row r="125">
      <c r="A125" t="inlineStr">
        <is>
          <t>2015-04-01</t>
        </is>
      </c>
      <c r="B125" t="n">
        <v>2.596668504040472</v>
      </c>
      <c r="C125" t="n">
        <v>0.8710277518173201</v>
      </c>
      <c r="D125" t="n">
        <v>-0.4605886422977678</v>
      </c>
      <c r="E125" t="n">
        <v>0.0945513658489758</v>
      </c>
      <c r="F125" t="n">
        <v>-0.5918402202734347</v>
      </c>
      <c r="G125" t="n">
        <v>0.6951848144032533</v>
      </c>
    </row>
    <row r="126">
      <c r="A126" t="inlineStr">
        <is>
          <t>2015-07-01</t>
        </is>
      </c>
      <c r="B126" t="n">
        <v>2.683504116163755</v>
      </c>
      <c r="C126" t="n">
        <v>1.045909074938708</v>
      </c>
      <c r="D126" t="n">
        <v>-0.4531390613914762</v>
      </c>
      <c r="E126" t="n">
        <v>0.3340857873082074</v>
      </c>
      <c r="F126" t="n">
        <v>-0.625545456152158</v>
      </c>
      <c r="G126" t="n">
        <v>0.7109409080805026</v>
      </c>
    </row>
    <row r="127">
      <c r="A127" t="inlineStr">
        <is>
          <t>2015-10-01</t>
        </is>
      </c>
      <c r="B127" t="n">
        <v>2.55021575701158</v>
      </c>
      <c r="C127" t="n">
        <v>1.150689678524999</v>
      </c>
      <c r="D127" t="n">
        <v>-0.4924836762138598</v>
      </c>
      <c r="E127" t="n">
        <v>0.3685654947364286</v>
      </c>
      <c r="F127" t="n">
        <v>-0.7110841949565816</v>
      </c>
      <c r="G127" t="n">
        <v>0.7056261636153057</v>
      </c>
    </row>
    <row r="128">
      <c r="A128" t="inlineStr">
        <is>
          <t>2016-01-01</t>
        </is>
      </c>
      <c r="B128" t="n">
        <v>2.679678501424005</v>
      </c>
      <c r="C128" t="n">
        <v>1.239020888506757</v>
      </c>
      <c r="D128" t="n">
        <v>-1.300939800609688</v>
      </c>
      <c r="E128" t="n">
        <v>-0.0272960670687074</v>
      </c>
      <c r="F128" t="n">
        <v>-0.8679622737345145</v>
      </c>
      <c r="G128" t="n">
        <v>0.6660625123413283</v>
      </c>
    </row>
    <row r="129">
      <c r="A129" t="inlineStr">
        <is>
          <t>2016-04-01</t>
        </is>
      </c>
      <c r="B129" t="n">
        <v>2.573226484311207</v>
      </c>
      <c r="C129" t="n">
        <v>1.258162628148462</v>
      </c>
      <c r="D129" t="n">
        <v>-1.483821711130721</v>
      </c>
      <c r="E129" t="n">
        <v>-0.0656198423060375</v>
      </c>
      <c r="F129" t="n">
        <v>-0.9880097621892968</v>
      </c>
      <c r="G129" t="n">
        <v>0.6299133661034397</v>
      </c>
    </row>
    <row r="130">
      <c r="A130" t="inlineStr">
        <is>
          <t>2016-07-01</t>
        </is>
      </c>
      <c r="B130" t="n">
        <v>2.613112262502837</v>
      </c>
      <c r="C130" t="n">
        <v>1.17833082886037</v>
      </c>
      <c r="D130" t="n">
        <v>-1.507064698627499</v>
      </c>
      <c r="E130" t="n">
        <v>-0.3348554754236255</v>
      </c>
      <c r="F130" t="n">
        <v>-1.036446160968523</v>
      </c>
      <c r="G130" t="n">
        <v>0.628316811260712</v>
      </c>
    </row>
    <row r="131">
      <c r="A131" t="inlineStr">
        <is>
          <t>2016-10-01</t>
        </is>
      </c>
      <c r="B131" t="n">
        <v>2.605523209460672</v>
      </c>
      <c r="C131" t="n">
        <v>1.092379891272614</v>
      </c>
      <c r="D131" t="n">
        <v>-1.552984800141994</v>
      </c>
      <c r="E131" t="n">
        <v>-0.3465488240092205</v>
      </c>
      <c r="F131" t="n">
        <v>-1.006677791320454</v>
      </c>
      <c r="G131" t="n">
        <v>0.6537297782963293</v>
      </c>
    </row>
    <row r="132">
      <c r="A132" t="inlineStr">
        <is>
          <t>2017-01-01</t>
        </is>
      </c>
      <c r="B132" t="n">
        <v>2.591922744254782</v>
      </c>
      <c r="C132" t="n">
        <v>1.050629913658965</v>
      </c>
      <c r="D132" t="n">
        <v>-1.416294427868475</v>
      </c>
      <c r="E132" t="n">
        <v>-0.2201252427339589</v>
      </c>
      <c r="F132" t="n">
        <v>-0.9649543364407152</v>
      </c>
      <c r="G132" t="n">
        <v>0.6576777569878484</v>
      </c>
    </row>
    <row r="133">
      <c r="A133" t="inlineStr">
        <is>
          <t>2017-04-01</t>
        </is>
      </c>
      <c r="B133" t="n">
        <v>2.642441801016901</v>
      </c>
      <c r="C133" t="n">
        <v>1.423596908170184</v>
      </c>
      <c r="D133" t="n">
        <v>-1.375023234022613</v>
      </c>
      <c r="E133" t="n">
        <v>-0.0514877557718097</v>
      </c>
      <c r="F133" t="n">
        <v>-0.8628758666248083</v>
      </c>
      <c r="G133" t="n">
        <v>0.7341308923456642</v>
      </c>
    </row>
    <row r="134">
      <c r="A134" t="inlineStr">
        <is>
          <t>2017-07-01</t>
        </is>
      </c>
      <c r="B134" t="n">
        <v>2.563420826854424</v>
      </c>
      <c r="C134" t="n">
        <v>1.713756811498287</v>
      </c>
      <c r="D134" t="n">
        <v>-1.286712167286712</v>
      </c>
      <c r="E134" t="n">
        <v>0.0808759575734351</v>
      </c>
      <c r="F134" t="n">
        <v>-0.8172712374857246</v>
      </c>
      <c r="G134" t="n">
        <v>0.7460204180864071</v>
      </c>
    </row>
    <row r="135">
      <c r="A135" t="inlineStr">
        <is>
          <t>2017-10-01</t>
        </is>
      </c>
      <c r="B135" t="n">
        <v>2.698644107195352</v>
      </c>
      <c r="C135" t="n">
        <v>1.965014833051106</v>
      </c>
      <c r="D135" t="n">
        <v>-1.208425527811278</v>
      </c>
      <c r="E135" t="n">
        <v>0.4172783585169581</v>
      </c>
      <c r="F135" t="n">
        <v>-0.7870160384273451</v>
      </c>
      <c r="G135" t="n">
        <v>0.7432183048456298</v>
      </c>
    </row>
    <row r="136">
      <c r="A136" t="inlineStr">
        <is>
          <t>2018-01-01</t>
        </is>
      </c>
      <c r="B136" t="n">
        <v>2.542813667488568</v>
      </c>
      <c r="C136" t="n">
        <v>2.153109121969192</v>
      </c>
      <c r="D136" t="n">
        <v>-1.095422483712155</v>
      </c>
      <c r="E136" t="n">
        <v>0.4875084983834581</v>
      </c>
      <c r="F136" t="n">
        <v>-0.7282474340825587</v>
      </c>
      <c r="G136" t="n">
        <v>0.7967510577524802</v>
      </c>
    </row>
    <row r="137">
      <c r="A137" t="inlineStr">
        <is>
          <t>2018-04-01</t>
        </is>
      </c>
      <c r="B137" t="n">
        <v>2.678467990971733</v>
      </c>
      <c r="C137" t="n">
        <v>2.422168857468122</v>
      </c>
      <c r="D137" t="n">
        <v>-1.228571738639952</v>
      </c>
      <c r="E137" t="n">
        <v>0.3639156099496616</v>
      </c>
      <c r="F137" t="n">
        <v>-0.6965283213079025</v>
      </c>
      <c r="G137" t="n">
        <v>0.7866233386566788</v>
      </c>
    </row>
    <row r="138">
      <c r="A138" t="inlineStr">
        <is>
          <t>2018-07-01</t>
        </is>
      </c>
      <c r="B138" t="n">
        <v>2.541812001450651</v>
      </c>
      <c r="C138" t="n">
        <v>2.894209936089234</v>
      </c>
      <c r="D138" t="n">
        <v>-1.055766860508882</v>
      </c>
      <c r="E138" t="n">
        <v>0.6262144133814755</v>
      </c>
      <c r="F138" t="n">
        <v>-0.5890407110633377</v>
      </c>
      <c r="G138" t="n">
        <v>0.8288487099482496</v>
      </c>
    </row>
    <row r="139">
      <c r="A139" t="inlineStr">
        <is>
          <t>2018-10-01</t>
        </is>
      </c>
      <c r="B139" t="n">
        <v>2.680834001968753</v>
      </c>
      <c r="C139" t="n">
        <v>3.226534266102486</v>
      </c>
      <c r="D139" t="n">
        <v>-0.7093866167636845</v>
      </c>
      <c r="E139" t="n">
        <v>1.142923053425329</v>
      </c>
      <c r="F139" t="n">
        <v>-0.4550513249225367</v>
      </c>
      <c r="G139" t="n">
        <v>0.9061874858108294</v>
      </c>
    </row>
    <row r="140">
      <c r="A140" t="inlineStr">
        <is>
          <t>2019-01-01</t>
        </is>
      </c>
      <c r="B140" t="n">
        <v>2.513829416446404</v>
      </c>
      <c r="C140" t="n">
        <v>3.389281319253238</v>
      </c>
      <c r="D140" t="n">
        <v>-0.8149296830688112</v>
      </c>
      <c r="E140" t="n">
        <v>1.377116936539311</v>
      </c>
      <c r="F140" t="n">
        <v>-0.4282835282742351</v>
      </c>
      <c r="G140" t="n">
        <v>0.9162567521182778</v>
      </c>
    </row>
    <row r="141">
      <c r="A141" t="inlineStr">
        <is>
          <t>2019-04-01</t>
        </is>
      </c>
      <c r="B141" t="n">
        <v>2.639493659103356</v>
      </c>
      <c r="C141" t="n">
        <v>3.580782327662062</v>
      </c>
      <c r="D141" t="n">
        <v>-0.7752938888538067</v>
      </c>
      <c r="E141" t="n">
        <v>1.623200583734465</v>
      </c>
      <c r="F141" t="n">
        <v>-0.4545679558991289</v>
      </c>
      <c r="G141" t="n">
        <v>0.8953425630698931</v>
      </c>
    </row>
    <row r="142">
      <c r="A142" t="inlineStr">
        <is>
          <t>2019-07-01</t>
        </is>
      </c>
      <c r="B142" t="n">
        <v>2.461877010430796</v>
      </c>
      <c r="C142" t="n">
        <v>3.329987035083374</v>
      </c>
      <c r="D142" t="n">
        <v>-0.7835782238283359</v>
      </c>
      <c r="E142" t="n">
        <v>1.580774195249719</v>
      </c>
      <c r="F142" t="n">
        <v>-0.4844368406664436</v>
      </c>
      <c r="G142" t="n">
        <v>0.9290790956059894</v>
      </c>
    </row>
    <row r="143">
      <c r="A143" t="inlineStr">
        <is>
          <t>2019-10-01</t>
        </is>
      </c>
      <c r="B143" t="n">
        <v>2.48119169105681</v>
      </c>
      <c r="C143" t="n">
        <v>2.822404754870956</v>
      </c>
      <c r="D143" t="n">
        <v>-1.016926969385475</v>
      </c>
      <c r="E143" t="n">
        <v>0.9123881595229856</v>
      </c>
      <c r="F143" t="n">
        <v>-0.6421420281091355</v>
      </c>
      <c r="G143" t="n">
        <v>0.8546431688192231</v>
      </c>
    </row>
    <row r="144">
      <c r="A144" t="inlineStr">
        <is>
          <t>2020-01-01</t>
        </is>
      </c>
      <c r="B144" t="n">
        <v>2.35344551524808</v>
      </c>
      <c r="C144" t="n">
        <v>2.25612454380624</v>
      </c>
      <c r="D144" t="n">
        <v>-1.270968230411896</v>
      </c>
      <c r="E144" t="n">
        <v>0.2261079511414213</v>
      </c>
      <c r="F144" t="n">
        <v>-0.8250049061369641</v>
      </c>
      <c r="G144" t="n">
        <v>0.7368253204496986</v>
      </c>
    </row>
    <row r="145">
      <c r="A145" t="inlineStr">
        <is>
          <t>2020-04-01</t>
        </is>
      </c>
      <c r="B145" t="n">
        <v>2.311826183831695</v>
      </c>
      <c r="C145" t="n">
        <v>1.891371173118114</v>
      </c>
      <c r="D145" t="n">
        <v>-1.384082845930121</v>
      </c>
      <c r="E145" t="n">
        <v>-0.2031227462298462</v>
      </c>
      <c r="F145" t="n">
        <v>-0.8994895678858492</v>
      </c>
      <c r="G145" t="n">
        <v>0.6987604648463241</v>
      </c>
    </row>
    <row r="146">
      <c r="A146" t="inlineStr">
        <is>
          <t>2020-07-01</t>
        </is>
      </c>
      <c r="B146" t="n">
        <v>2.30226037393417</v>
      </c>
      <c r="C146" t="n">
        <v>1.664302456568742</v>
      </c>
      <c r="D146" t="n">
        <v>-1.407501200419605</v>
      </c>
      <c r="E146" t="n">
        <v>-0.1846887806273338</v>
      </c>
      <c r="F146" t="n">
        <v>-0.8883243774602572</v>
      </c>
      <c r="G146" t="n">
        <v>0.6829557280125749</v>
      </c>
    </row>
    <row r="147">
      <c r="A147" t="inlineStr">
        <is>
          <t>2020-10-01</t>
        </is>
      </c>
      <c r="B147" t="n">
        <v>2.154021051636609</v>
      </c>
      <c r="C147" t="n">
        <v>1.301684757438176</v>
      </c>
      <c r="D147" t="n">
        <v>-1.185834117802154</v>
      </c>
      <c r="E147" t="n">
        <v>-0.2525213280942676</v>
      </c>
      <c r="F147" t="n">
        <v>-0.8059497075133857</v>
      </c>
      <c r="G147" t="n">
        <v>0.7291142880552437</v>
      </c>
    </row>
    <row r="148">
      <c r="A148" t="inlineStr">
        <is>
          <t>2021-01-01</t>
        </is>
      </c>
      <c r="B148" t="n">
        <v>2.209528135901875</v>
      </c>
      <c r="C148" t="n">
        <v>0.9829977752266974</v>
      </c>
      <c r="D148" t="n">
        <v>-1.073036535971288</v>
      </c>
      <c r="E148" t="n">
        <v>-0.2834754805763109</v>
      </c>
      <c r="F148" t="n">
        <v>-0.7565228220526163</v>
      </c>
      <c r="G148" t="n">
        <v>0.7371027451344921</v>
      </c>
    </row>
    <row r="149">
      <c r="A149" t="inlineStr">
        <is>
          <t>2021-04-01</t>
        </is>
      </c>
      <c r="B149" t="n">
        <v>2.05543099287795</v>
      </c>
      <c r="C149" t="n">
        <v>0.6089779055100257</v>
      </c>
      <c r="D149" t="n">
        <v>-1.271722549258621</v>
      </c>
      <c r="E149" t="n">
        <v>-0.4635927971515887</v>
      </c>
      <c r="F149" t="n">
        <v>-0.802084046951543</v>
      </c>
      <c r="G149" t="n">
        <v>0.6870644737560444</v>
      </c>
    </row>
    <row r="150">
      <c r="A150" t="inlineStr">
        <is>
          <t>2021-07-01</t>
        </is>
      </c>
      <c r="B150" t="n">
        <v>2.092220938123014</v>
      </c>
      <c r="C150" t="n">
        <v>0.3405241772141593</v>
      </c>
      <c r="D150" t="n">
        <v>-1.151989310822201</v>
      </c>
      <c r="E150" t="n">
        <v>-0.3897394403532325</v>
      </c>
      <c r="F150" t="n">
        <v>-0.8395166257144218</v>
      </c>
      <c r="G150" t="n">
        <v>0.6902322479580866</v>
      </c>
    </row>
    <row r="151">
      <c r="A151" t="inlineStr">
        <is>
          <t>2021-10-01</t>
        </is>
      </c>
      <c r="B151" t="n">
        <v>2.018968089063585</v>
      </c>
      <c r="C151" t="n">
        <v>0.1280927587727235</v>
      </c>
      <c r="D151" t="n">
        <v>-1.184146481734807</v>
      </c>
      <c r="E151" t="n">
        <v>-0.3622857471941059</v>
      </c>
      <c r="F151" t="n">
        <v>-0.9869592595240688</v>
      </c>
      <c r="G151" t="n">
        <v>0.678715126747431</v>
      </c>
    </row>
    <row r="152">
      <c r="A152" t="inlineStr">
        <is>
          <t>2022-01-01</t>
        </is>
      </c>
      <c r="B152" t="n">
        <v>1.952022406835629</v>
      </c>
      <c r="C152" t="n">
        <v>-0.2484342777002823</v>
      </c>
      <c r="D152" t="n">
        <v>-1.802880791772156</v>
      </c>
      <c r="E152" t="n">
        <v>-0.8707080721402704</v>
      </c>
      <c r="F152" t="n">
        <v>-1.39240407292637</v>
      </c>
      <c r="G152" t="n">
        <v>0.478663770943142</v>
      </c>
    </row>
    <row r="153">
      <c r="A153" t="inlineStr">
        <is>
          <t>2022-04-01</t>
        </is>
      </c>
      <c r="B153" t="n">
        <v>1.972022919841627</v>
      </c>
      <c r="C153" t="n">
        <v>-0.5353610692581668</v>
      </c>
      <c r="D153" t="n">
        <v>-2.13814317767045</v>
      </c>
      <c r="E153" t="n">
        <v>-1.265332709339537</v>
      </c>
      <c r="F153" t="n">
        <v>-1.759274043999674</v>
      </c>
      <c r="G153" t="n">
        <v>0.3814359653718793</v>
      </c>
    </row>
    <row r="154">
      <c r="A154" t="inlineStr">
        <is>
          <t>2022-07-01</t>
        </is>
      </c>
      <c r="B154" t="n">
        <v>1.857174810631053</v>
      </c>
      <c r="C154" t="n">
        <v>-0.7450560724178674</v>
      </c>
      <c r="D154" t="n">
        <v>-2.540376742237449</v>
      </c>
      <c r="E154" t="n">
        <v>-1.70402628996394</v>
      </c>
      <c r="F154" t="n">
        <v>-2.165663164051612</v>
      </c>
      <c r="G154" t="n">
        <v>0.2616743343473605</v>
      </c>
    </row>
    <row r="155">
      <c r="A155" t="inlineStr">
        <is>
          <t>2022-10-01</t>
        </is>
      </c>
      <c r="B155" t="n">
        <v>1.917457435491785</v>
      </c>
      <c r="C155" t="n">
        <v>-0.6620618573790898</v>
      </c>
      <c r="D155" t="n">
        <v>-3.345852199574869</v>
      </c>
      <c r="E155" t="n">
        <v>-2.192685235056405</v>
      </c>
      <c r="F155" t="n">
        <v>-2.635303732811889</v>
      </c>
      <c r="G155" t="n">
        <v>0.0215706906092762</v>
      </c>
    </row>
    <row r="156">
      <c r="A156" t="inlineStr">
        <is>
          <t>2023-01-01</t>
        </is>
      </c>
      <c r="B156" t="n">
        <v>1.866781853150172</v>
      </c>
      <c r="C156" t="n">
        <v>-0.3596571191564045</v>
      </c>
      <c r="D156" t="n">
        <v>-3.291793392559068</v>
      </c>
      <c r="E156" t="n">
        <v>-1.947091564312055</v>
      </c>
      <c r="F156" t="n">
        <v>-2.811037886191538</v>
      </c>
      <c r="G156" t="n">
        <v>0.0241341348597054</v>
      </c>
    </row>
    <row r="157">
      <c r="A157" t="inlineStr">
        <is>
          <t>2023-04-01</t>
        </is>
      </c>
      <c r="B157" t="n">
        <v>1.87079004918616</v>
      </c>
      <c r="C157" t="n">
        <v>0.08799706839852731</v>
      </c>
      <c r="D157" t="n">
        <v>-3.455479141081891</v>
      </c>
      <c r="E157" t="n">
        <v>-1.750074546299223</v>
      </c>
      <c r="F157" t="n">
        <v>-2.928633770924402</v>
      </c>
      <c r="G157" t="n">
        <v>-0.0202056328400336</v>
      </c>
    </row>
    <row r="158">
      <c r="A158" t="inlineStr">
        <is>
          <t>2023-07-01</t>
        </is>
      </c>
      <c r="B158" t="n">
        <v>1.949336756434453</v>
      </c>
      <c r="C158" t="n">
        <v>0.4320994219093601</v>
      </c>
      <c r="D158" t="n">
        <v>-3.504831047089045</v>
      </c>
      <c r="E158" t="n">
        <v>-1.444960419341898</v>
      </c>
      <c r="F158" t="n">
        <v>-2.927043808635174</v>
      </c>
      <c r="G158" t="n">
        <v>-0.006484163692718</v>
      </c>
    </row>
    <row r="159">
      <c r="A159" t="inlineStr">
        <is>
          <t>2023-10-01</t>
        </is>
      </c>
      <c r="B159" t="n">
        <v>1.776556932531504</v>
      </c>
      <c r="C159" t="n">
        <v>0.753800199130227</v>
      </c>
      <c r="D159" t="n">
        <v>-3.472953988626493</v>
      </c>
      <c r="E159" t="n">
        <v>-1.449090626851824</v>
      </c>
      <c r="F159" t="n">
        <v>-2.828960633421668</v>
      </c>
      <c r="G159" t="n">
        <v>0.0164142312213625</v>
      </c>
    </row>
    <row r="160">
      <c r="A160" t="inlineStr">
        <is>
          <t>2024-01-01</t>
        </is>
      </c>
      <c r="B160" t="n">
        <v>2.043031648901717</v>
      </c>
      <c r="C160" t="n">
        <v>0.8642466291542131</v>
      </c>
      <c r="D160" t="n">
        <v>-2.69989781047793</v>
      </c>
      <c r="E160" t="n">
        <v>-1.01016890675976</v>
      </c>
      <c r="F160" t="n">
        <v>-2.563670150628281</v>
      </c>
      <c r="G160" t="n">
        <v>0.1387844340444841</v>
      </c>
    </row>
    <row r="161">
      <c r="A161" t="inlineStr">
        <is>
          <t>2024-04-01</t>
        </is>
      </c>
      <c r="B161" t="n">
        <v>1.691611007534676</v>
      </c>
      <c r="C161" t="n">
        <v>0.8369726922758675</v>
      </c>
      <c r="D161" t="n">
        <v>-2.645719690934031</v>
      </c>
      <c r="E161" t="n">
        <v>-1.133391014152642</v>
      </c>
      <c r="F161" t="n">
        <v>-2.389854706526968</v>
      </c>
      <c r="G161" t="n">
        <v>0.1805144813436216</v>
      </c>
    </row>
    <row r="162">
      <c r="A162" t="inlineStr">
        <is>
          <t>2024-07-01</t>
        </is>
      </c>
      <c r="B162" t="n">
        <v>2.110727856422219</v>
      </c>
      <c r="C162" t="n">
        <v>0.7142508821886512</v>
      </c>
      <c r="D162" t="n">
        <v>-2.481205310708124</v>
      </c>
      <c r="E162" t="n">
        <v>-1.107632219819666</v>
      </c>
      <c r="F162" t="n">
        <v>-2.243354257739846</v>
      </c>
      <c r="G162" t="n">
        <v>0.2314994040507819</v>
      </c>
    </row>
    <row r="163">
      <c r="A163" t="inlineStr">
        <is>
          <t>2024-10-01</t>
        </is>
      </c>
      <c r="B163" t="n">
        <v>1.664844374181761</v>
      </c>
      <c r="C163" t="n">
        <v>0.7029349140052193</v>
      </c>
      <c r="D163" t="n">
        <v>-2.440486777700595</v>
      </c>
      <c r="E163" t="n">
        <v>-0.9445405022551724</v>
      </c>
      <c r="F163" t="n">
        <v>-2.185051567470598</v>
      </c>
      <c r="G163" t="n">
        <v>0.2129772384628369</v>
      </c>
    </row>
    <row r="164">
      <c r="A164" t="inlineStr">
        <is>
          <t>2025-01-01</t>
        </is>
      </c>
      <c r="B164" t="n">
        <v>2.17696990297107</v>
      </c>
      <c r="C164" t="n">
        <v>0.7327779471599034</v>
      </c>
      <c r="D164" t="n">
        <v>-2.250299356017575</v>
      </c>
      <c r="E164" t="n">
        <v>-0.5712191106563095</v>
      </c>
      <c r="F164" t="n">
        <v>-2.112998794273772</v>
      </c>
      <c r="G164" t="n">
        <v>0.2681803850691714</v>
      </c>
    </row>
    <row r="165">
      <c r="A165" t="inlineStr">
        <is>
          <t>2025-04-01</t>
        </is>
      </c>
      <c r="B165" t="n">
        <v>1.701538269942208</v>
      </c>
      <c r="C165" t="n">
        <v>0.8987404938024228</v>
      </c>
      <c r="D165" t="n">
        <v>-2.513784485884215</v>
      </c>
      <c r="E165" t="n">
        <v>-0.2932805298154437</v>
      </c>
      <c r="F165" t="n">
        <v>-2.154025230372062</v>
      </c>
      <c r="G165" t="n">
        <v>0.2258634569576998</v>
      </c>
    </row>
    <row r="166">
      <c r="A166" t="inlineStr">
        <is>
          <t>2025-07-01</t>
        </is>
      </c>
      <c r="B166" t="n">
        <v>2.176978647006642</v>
      </c>
      <c r="C166" t="n">
        <v>1.062436411912193</v>
      </c>
      <c r="D166" t="n">
        <v>-2.443582349210778</v>
      </c>
      <c r="E166" t="n">
        <v>-0.4133581711914489</v>
      </c>
      <c r="F166" t="n">
        <v>-2.167173966448145</v>
      </c>
      <c r="G166" t="n">
        <v>0.2373610565924561</v>
      </c>
    </row>
    <row r="167">
      <c r="A167" t="inlineStr">
        <is>
          <t>2025-10-01</t>
        </is>
      </c>
      <c r="B167" t="n">
        <v>1.701538327281361</v>
      </c>
      <c r="C167" t="n">
        <v>1.062436422105081</v>
      </c>
      <c r="D167" t="n">
        <v>-2.389387479084121</v>
      </c>
      <c r="E167" t="n">
        <v>-0.386260751796968</v>
      </c>
      <c r="F167" t="n">
        <v>-2.160136101761185</v>
      </c>
      <c r="G167" t="n">
        <v>0.225033898951367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2026-06-08T11:59:06Z</dcterms:created>
  <dcterms:modified xsi:type="dcterms:W3CDTF">2026-06-08T11:59:06Z</dcterms:modified>
</cp:coreProperties>
</file>