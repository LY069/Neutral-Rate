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ta" sheetId="2" state="visible" r:id="rId2"/>
    <sheet name="Settings" sheetId="3" state="visible" r:id="rId3"/>
    <sheet name="Dashboard" sheetId="4" state="visible" r:id="rId4"/>
    <sheet name="Python_faithfu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b val="1"/>
    </font>
    <font>
      <i val="1"/>
      <color rgb="00555555"/>
      <sz val="9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natural rate of interest (r*)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'Data'!$AD$2:$AD$165</f>
            </numRef>
          </val>
        </ser>
        <ser>
          <idx val="1"/>
          <order val="1"/>
          <tx>
            <strRef>
              <f>'Data'!AE1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'Data'!$AE$2:$AE$165</f>
            </numRef>
          </val>
        </ser>
        <ser>
          <idx val="2"/>
          <order val="2"/>
          <tx>
            <strRef>
              <f>'Data'!AF1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'Data'!$AF$2:$AF$165</f>
            </numRef>
          </val>
        </ser>
        <ser>
          <idx val="3"/>
          <order val="3"/>
          <tx>
            <strRef>
              <f>'Data'!AG1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'Data'!$AG$2:$AG$165</f>
            </numRef>
          </val>
        </ser>
        <ser>
          <idx val="4"/>
          <order val="4"/>
          <tx>
            <strRef>
              <f>'Data'!AH1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'Data'!$AH$2:$AH$165</f>
            </numRef>
          </val>
        </ser>
        <ser>
          <idx val="5"/>
          <order val="5"/>
          <tx>
            <strRef>
              <f>'Data'!AI1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'Data'!$AI$2:$AI$165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annualized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r* - faithful Python estimates</a:t>
            </a:r>
          </a:p>
        </rich>
      </tx>
    </title>
    <plotArea>
      <lineChart>
        <grouping val="standard"/>
        <ser>
          <idx val="0"/>
          <order val="0"/>
          <tx>
            <strRef>
              <f>'Python_faithful'!B3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'Python_faithful'!$B$4:$B$167</f>
            </numRef>
          </val>
        </ser>
        <ser>
          <idx val="1"/>
          <order val="1"/>
          <tx>
            <strRef>
              <f>'Python_faithful'!C3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'Python_faithful'!$C$4:$C$167</f>
            </numRef>
          </val>
        </ser>
        <ser>
          <idx val="2"/>
          <order val="2"/>
          <tx>
            <strRef>
              <f>'Python_faithful'!D3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'Python_faithful'!$D$4:$D$167</f>
            </numRef>
          </val>
        </ser>
        <ser>
          <idx val="3"/>
          <order val="3"/>
          <tx>
            <strRef>
              <f>'Python_faithful'!E3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'Python_faithful'!$E$4:$E$167</f>
            </numRef>
          </val>
        </ser>
        <ser>
          <idx val="4"/>
          <order val="4"/>
          <tx>
            <strRef>
              <f>'Python_faithful'!F3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'Python_faithful'!$F$4:$F$167</f>
            </numRef>
          </val>
        </ser>
        <ser>
          <idx val="5"/>
          <order val="5"/>
          <tx>
            <strRef>
              <f>'Python_faithful'!G3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'Python_faithful'!$G$4:$G$167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annualized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Japan Natural Rate of Interest (r*) - Six Methods</t>
        </is>
      </c>
    </row>
    <row r="2">
      <c r="A2" t="inlineStr"/>
    </row>
    <row r="3">
      <c r="A3" t="inlineStr">
        <is>
          <t>Replicates the six methods surveyed by the Bank of Japan</t>
        </is>
      </c>
    </row>
    <row r="4">
      <c r="A4" t="inlineStr">
        <is>
          <t>(Nakano, Sugioka &amp; Yamamoto 2024, BOJ WP 24-E-12; BOJ Review 2026-E-4).</t>
        </is>
      </c>
    </row>
    <row r="5">
      <c r="A5" t="inlineStr"/>
    </row>
    <row r="6">
      <c r="A6" t="inlineStr">
        <is>
          <t>SHEETS</t>
        </is>
      </c>
    </row>
    <row r="7">
      <c r="A7" t="inlineStr">
        <is>
          <t xml:space="preserve">  Settings  - window length and DSGE calibration (editable).</t>
        </is>
      </c>
    </row>
    <row r="8">
      <c r="A8" t="inlineStr">
        <is>
          <t xml:space="preserve">  Data      - quarterly panel from FRED + derived features + the six</t>
        </is>
      </c>
    </row>
    <row r="9">
      <c r="A9" t="inlineStr">
        <is>
          <t xml:space="preserve">              r* proxy columns (all live formulas).</t>
        </is>
      </c>
    </row>
    <row r="10">
      <c r="A10" t="inlineStr">
        <is>
          <t xml:space="preserve">  Dashboard - chart comparing the six r* estimates.</t>
        </is>
      </c>
    </row>
    <row r="11">
      <c r="A11" t="inlineStr"/>
    </row>
    <row r="12">
      <c r="A12" t="inlineStr">
        <is>
          <t>THE SIX METHODS (Excel proxy column on the Data sheet):</t>
        </is>
      </c>
    </row>
    <row r="13">
      <c r="A13" t="inlineStr">
        <is>
          <t xml:space="preserve">  rstar_HLW            Holston-Laubach-Williams (2017/2023)</t>
        </is>
      </c>
    </row>
    <row r="14">
      <c r="A14" t="inlineStr">
        <is>
          <t xml:space="preserve">  rstar_DSGE           Okazaki &amp; Sudo (2018) - consumption Euler</t>
        </is>
      </c>
    </row>
    <row r="15">
      <c r="A15" t="inlineStr">
        <is>
          <t xml:space="preserve">  rstar_Imakubo_NYC    Imakubo, Kojima &amp; Nakajima (2015) natural yield curve</t>
        </is>
      </c>
    </row>
    <row r="16">
      <c r="A16" t="inlineStr">
        <is>
          <t xml:space="preserve">  rstar_Nakajima_NYC   Nakajima et al. (2023) growth-anchored NYC</t>
        </is>
      </c>
    </row>
    <row r="17">
      <c r="A17" t="inlineStr">
        <is>
          <t xml:space="preserve">  rstar_GoyIwasaki     Goy &amp; Iwasaki (2024) macro-finance natural curve</t>
        </is>
      </c>
    </row>
    <row r="18">
      <c r="A18" t="inlineStr">
        <is>
          <t xml:space="preserve">  rstar_DelNegro_VAR   Del Negro et al. (2017) VAR common trends</t>
        </is>
      </c>
    </row>
    <row r="19">
      <c r="A19" t="inlineStr"/>
    </row>
    <row r="20">
      <c r="A20" t="inlineStr">
        <is>
          <t>IMPORTANT - fidelity:</t>
        </is>
      </c>
    </row>
    <row r="21">
      <c r="A21" t="inlineStr">
        <is>
          <t xml:space="preserve">  The Excel columns are transparent REDUCED-FORM PROXIES that update</t>
        </is>
      </c>
    </row>
    <row r="22">
      <c r="A22" t="inlineStr">
        <is>
          <t xml:space="preserve">  live with the data. The faithful state-space / MLE estimates are in</t>
        </is>
      </c>
    </row>
    <row r="23">
      <c r="A23" t="inlineStr">
        <is>
          <t xml:space="preserve">  the Python package (run: python -m neutralrate.run_all). See</t>
        </is>
      </c>
    </row>
    <row r="24">
      <c r="A24" t="inlineStr">
        <is>
          <t xml:space="preserve">  docs/01_research_report.md and docs/02_update_manual.md.</t>
        </is>
      </c>
    </row>
    <row r="25">
      <c r="A25" t="inlineStr"/>
    </row>
    <row r="26">
      <c r="A26" t="inlineStr">
        <is>
          <t>TO UPDATE THE DATA:</t>
        </is>
      </c>
    </row>
    <row r="27">
      <c r="A27" t="inlineStr">
        <is>
          <t xml:space="preserve">  Option A (automated): python python/scripts/refresh_data.py --excel</t>
        </is>
      </c>
    </row>
    <row r="28">
      <c r="A28" t="inlineStr">
        <is>
          <t xml:space="preserve">  Option B (native):    Data &gt; Refresh All after setting up Power Query</t>
        </is>
      </c>
    </row>
    <row r="29">
      <c r="A29" t="inlineStr">
        <is>
          <t xml:space="preserve">                        (steps in docs/02_update_manual.md).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2" t="inlineStr">
        <is>
          <t>date</t>
        </is>
      </c>
      <c r="B1" s="2" t="inlineStr">
        <is>
          <t>real_gdp</t>
        </is>
      </c>
      <c r="C1" s="2" t="inlineStr">
        <is>
          <t>consumption</t>
        </is>
      </c>
      <c r="D1" s="2" t="inlineStr">
        <is>
          <t>cpi</t>
        </is>
      </c>
      <c r="E1" s="2" t="inlineStr">
        <is>
          <t>core_cpi_yoy</t>
        </is>
      </c>
      <c r="F1" s="2" t="inlineStr">
        <is>
          <t>short_rate</t>
        </is>
      </c>
      <c r="G1" s="2" t="inlineStr">
        <is>
          <t>rate_3m</t>
        </is>
      </c>
      <c r="H1" s="2" t="inlineStr">
        <is>
          <t>rate_10y</t>
        </is>
      </c>
      <c r="I1" s="2" t="inlineStr">
        <is>
          <t>working_age_pop</t>
        </is>
      </c>
      <c r="J1" s="2" t="inlineStr">
        <is>
          <t>log_gdp</t>
        </is>
      </c>
      <c r="K1" s="2" t="inlineStr">
        <is>
          <t>log_cons</t>
        </is>
      </c>
      <c r="L1" s="2" t="inlineStr">
        <is>
          <t>gdp_growth</t>
        </is>
      </c>
      <c r="M1" s="2" t="inlineStr">
        <is>
          <t>cons_growth</t>
        </is>
      </c>
      <c r="N1" s="2" t="inlineStr">
        <is>
          <t>inflation</t>
        </is>
      </c>
      <c r="O1" s="2" t="inlineStr">
        <is>
          <t>inflation_yoy</t>
        </is>
      </c>
      <c r="P1" s="2" t="inlineStr">
        <is>
          <t>exp_inflation</t>
        </is>
      </c>
      <c r="Q1" s="2" t="inlineStr">
        <is>
          <t>exp_inflation_long</t>
        </is>
      </c>
      <c r="R1" s="2" t="inlineStr">
        <is>
          <t>real_short_rate</t>
        </is>
      </c>
      <c r="S1" s="2" t="inlineStr">
        <is>
          <t>real_10y</t>
        </is>
      </c>
      <c r="T1" s="2" t="inlineStr">
        <is>
          <t>real_10y_exp</t>
        </is>
      </c>
      <c r="U1" s="2" t="inlineStr">
        <is>
          <t>real_3m</t>
        </is>
      </c>
      <c r="V1" s="2" t="inlineStr">
        <is>
          <t>term_premium</t>
        </is>
      </c>
      <c r="W1" s="2" t="inlineStr">
        <is>
          <t>real_10y_adj</t>
        </is>
      </c>
      <c r="X1" s="2" t="inlineStr">
        <is>
          <t>curve_mid</t>
        </is>
      </c>
      <c r="Y1" s="2" t="inlineStr">
        <is>
          <t>trend_growth_gdp</t>
        </is>
      </c>
      <c r="Z1" s="2" t="inlineStr">
        <is>
          <t>trend_growth_cons</t>
        </is>
      </c>
      <c r="AA1" s="2" t="inlineStr">
        <is>
          <t>MA_real_short</t>
        </is>
      </c>
      <c r="AB1" s="2" t="inlineStr">
        <is>
          <t>MA_real_10y_adj</t>
        </is>
      </c>
      <c r="AC1" s="2" t="inlineStr">
        <is>
          <t>MA_curve_mid</t>
        </is>
      </c>
      <c r="AD1" s="2" t="inlineStr">
        <is>
          <t>rstar_HLW</t>
        </is>
      </c>
      <c r="AE1" s="2" t="inlineStr">
        <is>
          <t>rstar_DSGE</t>
        </is>
      </c>
      <c r="AF1" s="2" t="inlineStr">
        <is>
          <t>rstar_Imakubo_NYC</t>
        </is>
      </c>
      <c r="AG1" s="2" t="inlineStr">
        <is>
          <t>rstar_Nakajima_NYC</t>
        </is>
      </c>
      <c r="AH1" s="2" t="inlineStr">
        <is>
          <t>rstar_GoyIwasaki</t>
        </is>
      </c>
      <c r="AI1" s="2" t="inlineStr">
        <is>
          <t>rstar_DelNegro_VAR</t>
        </is>
      </c>
    </row>
    <row r="2">
      <c r="A2" t="inlineStr">
        <is>
          <t>1985-01-01</t>
        </is>
      </c>
      <c r="B2" t="n">
        <v>354283.4523979547</v>
      </c>
      <c r="C2" t="n">
        <v>195510.5342845241</v>
      </c>
      <c r="D2" t="n">
        <v>60.17250719144882</v>
      </c>
      <c r="E2" t="n">
        <v>1.148397842221555</v>
      </c>
      <c r="F2" t="n">
        <v>5.985687563322215</v>
      </c>
      <c r="G2" t="n">
        <v>6.159616145886272</v>
      </c>
      <c r="H2" t="n">
        <v>7.737563450935673</v>
      </c>
      <c r="I2" t="n">
        <v>86.01871932258531</v>
      </c>
      <c r="J2" t="n">
        <v>1277.785258470486</v>
      </c>
      <c r="K2" t="n">
        <v>772.8804601654912</v>
      </c>
      <c r="N2" t="n">
        <v>1.148397842221555</v>
      </c>
      <c r="O2" t="n">
        <v>1.148397842221555</v>
      </c>
      <c r="P2" t="n">
        <v>1.148397842221555</v>
      </c>
      <c r="Q2" t="n">
        <v>1.148397842221555</v>
      </c>
      <c r="R2" t="n">
        <v>4.83728972110066</v>
      </c>
      <c r="S2" t="n">
        <v>6.589165608714119</v>
      </c>
      <c r="T2" t="n">
        <v>6.589165608714119</v>
      </c>
      <c r="U2" t="n">
        <v>5.011218303664716</v>
      </c>
      <c r="V2">
        <f>T2-R2</f>
        <v/>
      </c>
      <c r="W2">
        <f>T2-Settings!$B$5</f>
        <v/>
      </c>
      <c r="X2">
        <f>0.5*(R2+W2)</f>
        <v/>
      </c>
      <c r="Y2">
        <f>AVERAGE(L2:L2)</f>
        <v/>
      </c>
      <c r="Z2">
        <f>AVERAGE(M2:M2)</f>
        <v/>
      </c>
      <c r="AA2">
        <f>AVERAGE(R2:R2)</f>
        <v/>
      </c>
      <c r="AB2">
        <f>AVERAGE(W2:W2)</f>
        <v/>
      </c>
      <c r="AC2">
        <f>AVERAGE(X2:X2)</f>
        <v/>
      </c>
      <c r="AD2">
        <f>0.5*Y2+0.5*AA2</f>
        <v/>
      </c>
      <c r="AE2">
        <f>Settings!$B$3+Settings!$B$4*Z2</f>
        <v/>
      </c>
      <c r="AF2">
        <f>AC2</f>
        <v/>
      </c>
      <c r="AG2">
        <f>0.5*Y2+0.5*AC2</f>
        <v/>
      </c>
      <c r="AH2">
        <f>(AA2+AB2+Y2)/3</f>
        <v/>
      </c>
      <c r="AI2">
        <f>0.7*AA2+0.3*Y2</f>
        <v/>
      </c>
    </row>
    <row r="3">
      <c r="A3" t="inlineStr">
        <is>
          <t>1985-04-01</t>
        </is>
      </c>
      <c r="B3" t="n">
        <v>357396.5497646172</v>
      </c>
      <c r="C3" t="n">
        <v>195859.4361609457</v>
      </c>
      <c r="D3" t="n">
        <v>60.37510474909438</v>
      </c>
      <c r="E3" t="n">
        <v>1.246456944755836</v>
      </c>
      <c r="F3" t="n">
        <v>5.922698278965435</v>
      </c>
      <c r="G3" t="n">
        <v>6.128020162404543</v>
      </c>
      <c r="H3" t="n">
        <v>7.866475972957081</v>
      </c>
      <c r="I3" t="n">
        <v>86.03159907418807</v>
      </c>
      <c r="J3" t="n">
        <v>1278.660122795246</v>
      </c>
      <c r="K3" t="n">
        <v>773.0437858622054</v>
      </c>
      <c r="L3" t="n">
        <v>3.499457299041751</v>
      </c>
      <c r="M3" t="n">
        <v>0.6533027868567842</v>
      </c>
      <c r="N3" t="n">
        <v>1.246456944755836</v>
      </c>
      <c r="O3" t="n">
        <v>1.246456944755836</v>
      </c>
      <c r="P3" t="n">
        <v>1.197427393488696</v>
      </c>
      <c r="Q3" t="n">
        <v>1.197427393488696</v>
      </c>
      <c r="R3" t="n">
        <v>4.725270885476739</v>
      </c>
      <c r="S3" t="n">
        <v>6.669048579468385</v>
      </c>
      <c r="T3" t="n">
        <v>6.669048579468385</v>
      </c>
      <c r="U3" t="n">
        <v>4.930592768915847</v>
      </c>
      <c r="V3">
        <f>T3-R3</f>
        <v/>
      </c>
      <c r="W3">
        <f>T3-Settings!$B$5</f>
        <v/>
      </c>
      <c r="X3">
        <f>0.5*(R3+W3)</f>
        <v/>
      </c>
      <c r="Y3">
        <f>AVERAGE(L2:L3)</f>
        <v/>
      </c>
      <c r="Z3">
        <f>AVERAGE(M2:M3)</f>
        <v/>
      </c>
      <c r="AA3">
        <f>AVERAGE(R2:R3)</f>
        <v/>
      </c>
      <c r="AB3">
        <f>AVERAGE(W2:W3)</f>
        <v/>
      </c>
      <c r="AC3">
        <f>AVERAGE(X2:X3)</f>
        <v/>
      </c>
      <c r="AD3">
        <f>0.5*Y3+0.5*AA3</f>
        <v/>
      </c>
      <c r="AE3">
        <f>Settings!$B$3+Settings!$B$4*Z3</f>
        <v/>
      </c>
      <c r="AF3">
        <f>AC3</f>
        <v/>
      </c>
      <c r="AG3">
        <f>0.5*Y3+0.5*AC3</f>
        <v/>
      </c>
      <c r="AH3">
        <f>(AA3+AB3+Y3)/3</f>
        <v/>
      </c>
      <c r="AI3">
        <f>0.7*AA3+0.3*Y3</f>
        <v/>
      </c>
    </row>
    <row r="4">
      <c r="A4" t="inlineStr">
        <is>
          <t>1985-07-01</t>
        </is>
      </c>
      <c r="B4" t="n">
        <v>362693.3298642653</v>
      </c>
      <c r="C4" t="n">
        <v>200226.043771196</v>
      </c>
      <c r="D4" t="n">
        <v>60.67066290325154</v>
      </c>
      <c r="E4" t="n">
        <v>1.482094139831563</v>
      </c>
      <c r="F4" t="n">
        <v>5.784566347222679</v>
      </c>
      <c r="G4" t="n">
        <v>6.020941912327627</v>
      </c>
      <c r="H4" t="n">
        <v>7.46835839594925</v>
      </c>
      <c r="I4" t="n">
        <v>85.92978654509547</v>
      </c>
      <c r="J4" t="n">
        <v>1280.131293487378</v>
      </c>
      <c r="K4" t="n">
        <v>775.3671698903294</v>
      </c>
      <c r="L4" t="n">
        <v>5.884682768527455</v>
      </c>
      <c r="M4" t="n">
        <v>9.293536112495985</v>
      </c>
      <c r="N4" t="n">
        <v>1.482094139831563</v>
      </c>
      <c r="O4" t="n">
        <v>1.482094139831563</v>
      </c>
      <c r="P4" t="n">
        <v>1.292316308936318</v>
      </c>
      <c r="Q4" t="n">
        <v>1.292316308936318</v>
      </c>
      <c r="R4" t="n">
        <v>4.492250038286361</v>
      </c>
      <c r="S4" t="n">
        <v>6.176042087012931</v>
      </c>
      <c r="T4" t="n">
        <v>6.176042087012931</v>
      </c>
      <c r="U4" t="n">
        <v>4.728625603391309</v>
      </c>
      <c r="V4">
        <f>T4-R4</f>
        <v/>
      </c>
      <c r="W4">
        <f>T4-Settings!$B$5</f>
        <v/>
      </c>
      <c r="X4">
        <f>0.5*(R4+W4)</f>
        <v/>
      </c>
      <c r="Y4">
        <f>AVERAGE(L2:L4)</f>
        <v/>
      </c>
      <c r="Z4">
        <f>AVERAGE(M2:M4)</f>
        <v/>
      </c>
      <c r="AA4">
        <f>AVERAGE(R2:R4)</f>
        <v/>
      </c>
      <c r="AB4">
        <f>AVERAGE(W2:W4)</f>
        <v/>
      </c>
      <c r="AC4">
        <f>AVERAGE(X2:X4)</f>
        <v/>
      </c>
      <c r="AD4">
        <f>0.5*Y4+0.5*AA4</f>
        <v/>
      </c>
      <c r="AE4">
        <f>Settings!$B$3+Settings!$B$4*Z4</f>
        <v/>
      </c>
      <c r="AF4">
        <f>AC4</f>
        <v/>
      </c>
      <c r="AG4">
        <f>0.5*Y4+0.5*AC4</f>
        <v/>
      </c>
      <c r="AH4">
        <f>(AA4+AB4+Y4)/3</f>
        <v/>
      </c>
      <c r="AI4">
        <f>0.7*AA4+0.3*Y4</f>
        <v/>
      </c>
    </row>
    <row r="5">
      <c r="A5" t="inlineStr">
        <is>
          <t>1985-10-01</t>
        </is>
      </c>
      <c r="B5" t="n">
        <v>368476.7348126714</v>
      </c>
      <c r="C5" t="n">
        <v>202974.504571082</v>
      </c>
      <c r="D5" t="n">
        <v>60.92773066594092</v>
      </c>
      <c r="E5" t="n">
        <v>1.534385640691</v>
      </c>
      <c r="F5" t="n">
        <v>5.746777356273258</v>
      </c>
      <c r="G5" t="n">
        <v>5.93706360514466</v>
      </c>
      <c r="H5" t="n">
        <v>7.335111911376204</v>
      </c>
      <c r="I5" t="n">
        <v>86.01655200774981</v>
      </c>
      <c r="J5" t="n">
        <v>1281.713285378173</v>
      </c>
      <c r="K5" t="n">
        <v>776.6295913949682</v>
      </c>
      <c r="L5" t="n">
        <v>6.32796756317839</v>
      </c>
      <c r="M5" t="n">
        <v>5.049686018555349</v>
      </c>
      <c r="N5" t="n">
        <v>1.534385640691</v>
      </c>
      <c r="O5" t="n">
        <v>1.534385640691</v>
      </c>
      <c r="P5" t="n">
        <v>1.352833641874989</v>
      </c>
      <c r="Q5" t="n">
        <v>1.352833641874989</v>
      </c>
      <c r="R5" t="n">
        <v>4.393943714398269</v>
      </c>
      <c r="S5" t="n">
        <v>5.982278269501215</v>
      </c>
      <c r="T5" t="n">
        <v>5.982278269501215</v>
      </c>
      <c r="U5" t="n">
        <v>4.584229963269671</v>
      </c>
      <c r="V5">
        <f>T5-R5</f>
        <v/>
      </c>
      <c r="W5">
        <f>T5-Settings!$B$5</f>
        <v/>
      </c>
      <c r="X5">
        <f>0.5*(R5+W5)</f>
        <v/>
      </c>
      <c r="Y5">
        <f>AVERAGE(L2:L5)</f>
        <v/>
      </c>
      <c r="Z5">
        <f>AVERAGE(M2:M5)</f>
        <v/>
      </c>
      <c r="AA5">
        <f>AVERAGE(R2:R5)</f>
        <v/>
      </c>
      <c r="AB5">
        <f>AVERAGE(W2:W5)</f>
        <v/>
      </c>
      <c r="AC5">
        <f>AVERAGE(X2:X5)</f>
        <v/>
      </c>
      <c r="AD5">
        <f>0.5*Y5+0.5*AA5</f>
        <v/>
      </c>
      <c r="AE5">
        <f>Settings!$B$3+Settings!$B$4*Z5</f>
        <v/>
      </c>
      <c r="AF5">
        <f>AC5</f>
        <v/>
      </c>
      <c r="AG5">
        <f>0.5*Y5+0.5*AC5</f>
        <v/>
      </c>
      <c r="AH5">
        <f>(AA5+AB5+Y5)/3</f>
        <v/>
      </c>
      <c r="AI5">
        <f>0.7*AA5+0.3*Y5</f>
        <v/>
      </c>
    </row>
    <row r="6">
      <c r="A6" t="inlineStr">
        <is>
          <t>1986-01-01</t>
        </is>
      </c>
      <c r="B6" t="n">
        <v>371289.376829276</v>
      </c>
      <c r="C6" t="n">
        <v>204081.2497583088</v>
      </c>
      <c r="D6" t="n">
        <v>61.12458881427456</v>
      </c>
      <c r="E6" t="n">
        <v>1.569866397992205</v>
      </c>
      <c r="F6" t="n">
        <v>5.508429695789244</v>
      </c>
      <c r="G6" t="n">
        <v>5.657670816314151</v>
      </c>
      <c r="H6" t="n">
        <v>7.122245180464992</v>
      </c>
      <c r="I6" t="n">
        <v>85.98486901202648</v>
      </c>
      <c r="J6" t="n">
        <v>1282.47370290079</v>
      </c>
      <c r="K6" t="n">
        <v>777.2102137608321</v>
      </c>
      <c r="L6" t="n">
        <v>3.04167009046796</v>
      </c>
      <c r="M6" t="n">
        <v>2.32248946345544</v>
      </c>
      <c r="N6" t="n">
        <v>1.569866397992205</v>
      </c>
      <c r="O6" t="n">
        <v>1.569866397992205</v>
      </c>
      <c r="P6" t="n">
        <v>1.458200780817651</v>
      </c>
      <c r="Q6" t="n">
        <v>1.396240193098432</v>
      </c>
      <c r="R6" t="n">
        <v>4.050228914971592</v>
      </c>
      <c r="S6" t="n">
        <v>5.664044399647341</v>
      </c>
      <c r="T6" t="n">
        <v>5.72600498736656</v>
      </c>
      <c r="U6" t="n">
        <v>4.1994700354965</v>
      </c>
      <c r="V6">
        <f>T6-R6</f>
        <v/>
      </c>
      <c r="W6">
        <f>T6-Settings!$B$5</f>
        <v/>
      </c>
      <c r="X6">
        <f>0.5*(R6+W6)</f>
        <v/>
      </c>
      <c r="Y6">
        <f>AVERAGE(L2:L6)</f>
        <v/>
      </c>
      <c r="Z6">
        <f>AVERAGE(M2:M6)</f>
        <v/>
      </c>
      <c r="AA6">
        <f>AVERAGE(R2:R6)</f>
        <v/>
      </c>
      <c r="AB6">
        <f>AVERAGE(W2:W6)</f>
        <v/>
      </c>
      <c r="AC6">
        <f>AVERAGE(X2:X6)</f>
        <v/>
      </c>
      <c r="AD6">
        <f>0.5*Y6+0.5*AA6</f>
        <v/>
      </c>
      <c r="AE6">
        <f>Settings!$B$3+Settings!$B$4*Z6</f>
        <v/>
      </c>
      <c r="AF6">
        <f>AC6</f>
        <v/>
      </c>
      <c r="AG6">
        <f>0.5*Y6+0.5*AC6</f>
        <v/>
      </c>
      <c r="AH6">
        <f>(AA6+AB6+Y6)/3</f>
        <v/>
      </c>
      <c r="AI6">
        <f>0.7*AA6+0.3*Y6</f>
        <v/>
      </c>
    </row>
    <row r="7">
      <c r="A7" t="inlineStr">
        <is>
          <t>1986-04-01</t>
        </is>
      </c>
      <c r="B7" t="n">
        <v>374986.8208095186</v>
      </c>
      <c r="C7" t="n">
        <v>206209.1262844186</v>
      </c>
      <c r="D7" t="n">
        <v>61.30760717920466</v>
      </c>
      <c r="E7" t="n">
        <v>1.532708583686645</v>
      </c>
      <c r="F7" t="n">
        <v>5.483219631594068</v>
      </c>
      <c r="G7" t="n">
        <v>5.682692746799745</v>
      </c>
      <c r="H7" t="n">
        <v>7.286130626251735</v>
      </c>
      <c r="I7" t="n">
        <v>85.97586049206377</v>
      </c>
      <c r="J7" t="n">
        <v>1283.464615982701</v>
      </c>
      <c r="K7" t="n">
        <v>778.2579544067451</v>
      </c>
      <c r="L7" t="n">
        <v>3.963652327645832</v>
      </c>
      <c r="M7" t="n">
        <v>4.190962583651981</v>
      </c>
      <c r="N7" t="n">
        <v>1.532708583686645</v>
      </c>
      <c r="O7" t="n">
        <v>1.532708583686645</v>
      </c>
      <c r="P7" t="n">
        <v>1.529763690550353</v>
      </c>
      <c r="Q7" t="n">
        <v>1.418984924863134</v>
      </c>
      <c r="R7" t="n">
        <v>3.953455941043714</v>
      </c>
      <c r="S7" t="n">
        <v>5.756366935701381</v>
      </c>
      <c r="T7" t="n">
        <v>5.8671457013886</v>
      </c>
      <c r="U7" t="n">
        <v>4.152929056249391</v>
      </c>
      <c r="V7">
        <f>T7-R7</f>
        <v/>
      </c>
      <c r="W7">
        <f>T7-Settings!$B$5</f>
        <v/>
      </c>
      <c r="X7">
        <f>0.5*(R7+W7)</f>
        <v/>
      </c>
      <c r="Y7">
        <f>AVERAGE(L2:L7)</f>
        <v/>
      </c>
      <c r="Z7">
        <f>AVERAGE(M2:M7)</f>
        <v/>
      </c>
      <c r="AA7">
        <f>AVERAGE(R2:R7)</f>
        <v/>
      </c>
      <c r="AB7">
        <f>AVERAGE(W2:W7)</f>
        <v/>
      </c>
      <c r="AC7">
        <f>AVERAGE(X2:X7)</f>
        <v/>
      </c>
      <c r="AD7">
        <f>0.5*Y7+0.5*AA7</f>
        <v/>
      </c>
      <c r="AE7">
        <f>Settings!$B$3+Settings!$B$4*Z7</f>
        <v/>
      </c>
      <c r="AF7">
        <f>AC7</f>
        <v/>
      </c>
      <c r="AG7">
        <f>0.5*Y7+0.5*AC7</f>
        <v/>
      </c>
      <c r="AH7">
        <f>(AA7+AB7+Y7)/3</f>
        <v/>
      </c>
      <c r="AI7">
        <f>0.7*AA7+0.3*Y7</f>
        <v/>
      </c>
    </row>
    <row r="8">
      <c r="A8" t="inlineStr">
        <is>
          <t>1986-07-01</t>
        </is>
      </c>
      <c r="B8" t="n">
        <v>380440.5245974062</v>
      </c>
      <c r="C8" t="n">
        <v>208694.968494735</v>
      </c>
      <c r="D8" t="n">
        <v>61.53945534008683</v>
      </c>
      <c r="E8" t="n">
        <v>1.421825108156611</v>
      </c>
      <c r="F8" t="n">
        <v>5.300459400243801</v>
      </c>
      <c r="G8" t="n">
        <v>5.473386707400025</v>
      </c>
      <c r="H8" t="n">
        <v>7.10355112804707</v>
      </c>
      <c r="I8" t="n">
        <v>86.04352778047098</v>
      </c>
      <c r="J8" t="n">
        <v>1284.908513551821</v>
      </c>
      <c r="K8" t="n">
        <v>779.3775678789266</v>
      </c>
      <c r="L8" t="n">
        <v>5.775590276480216</v>
      </c>
      <c r="M8" t="n">
        <v>4.478453888726108</v>
      </c>
      <c r="N8" t="n">
        <v>1.421825108156611</v>
      </c>
      <c r="O8" t="n">
        <v>1.421825108156611</v>
      </c>
      <c r="P8" t="n">
        <v>1.514696432631615</v>
      </c>
      <c r="Q8" t="n">
        <v>1.419390665333631</v>
      </c>
      <c r="R8" t="n">
        <v>3.785762967612186</v>
      </c>
      <c r="S8" t="n">
        <v>5.588854695415455</v>
      </c>
      <c r="T8" t="n">
        <v>5.684160462713439</v>
      </c>
      <c r="U8" t="n">
        <v>3.95869027476841</v>
      </c>
      <c r="V8">
        <f>T8-R8</f>
        <v/>
      </c>
      <c r="W8">
        <f>T8-Settings!$B$5</f>
        <v/>
      </c>
      <c r="X8">
        <f>0.5*(R8+W8)</f>
        <v/>
      </c>
      <c r="Y8">
        <f>AVERAGE(L2:L8)</f>
        <v/>
      </c>
      <c r="Z8">
        <f>AVERAGE(M2:M8)</f>
        <v/>
      </c>
      <c r="AA8">
        <f>AVERAGE(R2:R8)</f>
        <v/>
      </c>
      <c r="AB8">
        <f>AVERAGE(W2:W8)</f>
        <v/>
      </c>
      <c r="AC8">
        <f>AVERAGE(X2:X8)</f>
        <v/>
      </c>
      <c r="AD8">
        <f>0.5*Y8+0.5*AA8</f>
        <v/>
      </c>
      <c r="AE8">
        <f>Settings!$B$3+Settings!$B$4*Z8</f>
        <v/>
      </c>
      <c r="AF8">
        <f>AC8</f>
        <v/>
      </c>
      <c r="AG8">
        <f>0.5*Y8+0.5*AC8</f>
        <v/>
      </c>
      <c r="AH8">
        <f>(AA8+AB8+Y8)/3</f>
        <v/>
      </c>
      <c r="AI8">
        <f>0.7*AA8+0.3*Y8</f>
        <v/>
      </c>
    </row>
    <row r="9">
      <c r="A9" t="inlineStr">
        <is>
          <t>1986-10-01</t>
        </is>
      </c>
      <c r="B9" t="n">
        <v>385501.2493914145</v>
      </c>
      <c r="C9" t="n">
        <v>212404.3399379488</v>
      </c>
      <c r="D9" t="n">
        <v>61.71432644891038</v>
      </c>
      <c r="E9" t="n">
        <v>1.282768061135699</v>
      </c>
      <c r="F9" t="n">
        <v>5.22524695848864</v>
      </c>
      <c r="G9" t="n">
        <v>5.414976730328724</v>
      </c>
      <c r="H9" t="n">
        <v>7.013485872946127</v>
      </c>
      <c r="I9" t="n">
        <v>86.07396372553372</v>
      </c>
      <c r="J9" t="n">
        <v>1286.229971294373</v>
      </c>
      <c r="K9" t="n">
        <v>781.1040031045713</v>
      </c>
      <c r="L9" t="n">
        <v>5.285830970206916</v>
      </c>
      <c r="M9" t="n">
        <v>6.905740902579055</v>
      </c>
      <c r="N9" t="n">
        <v>1.282768061135699</v>
      </c>
      <c r="O9" t="n">
        <v>1.282768061135699</v>
      </c>
      <c r="P9" t="n">
        <v>1.45179203774279</v>
      </c>
      <c r="Q9" t="n">
        <v>1.402312839808889</v>
      </c>
      <c r="R9" t="n">
        <v>3.77345492074585</v>
      </c>
      <c r="S9" t="n">
        <v>5.561693835203338</v>
      </c>
      <c r="T9" t="n">
        <v>5.611173033137238</v>
      </c>
      <c r="U9" t="n">
        <v>3.963184692585934</v>
      </c>
      <c r="V9">
        <f>T9-R9</f>
        <v/>
      </c>
      <c r="W9">
        <f>T9-Settings!$B$5</f>
        <v/>
      </c>
      <c r="X9">
        <f>0.5*(R9+W9)</f>
        <v/>
      </c>
      <c r="Y9">
        <f>AVERAGE(L2:L9)</f>
        <v/>
      </c>
      <c r="Z9">
        <f>AVERAGE(M2:M9)</f>
        <v/>
      </c>
      <c r="AA9">
        <f>AVERAGE(R2:R9)</f>
        <v/>
      </c>
      <c r="AB9">
        <f>AVERAGE(W2:W9)</f>
        <v/>
      </c>
      <c r="AC9">
        <f>AVERAGE(X2:X9)</f>
        <v/>
      </c>
      <c r="AD9">
        <f>0.5*Y9+0.5*AA9</f>
        <v/>
      </c>
      <c r="AE9">
        <f>Settings!$B$3+Settings!$B$4*Z9</f>
        <v/>
      </c>
      <c r="AF9">
        <f>AC9</f>
        <v/>
      </c>
      <c r="AG9">
        <f>0.5*Y9+0.5*AC9</f>
        <v/>
      </c>
      <c r="AH9">
        <f>(AA9+AB9+Y9)/3</f>
        <v/>
      </c>
      <c r="AI9">
        <f>0.7*AA9+0.3*Y9</f>
        <v/>
      </c>
    </row>
    <row r="10">
      <c r="A10" t="inlineStr">
        <is>
          <t>1987-01-01</t>
        </is>
      </c>
      <c r="B10" t="n">
        <v>390967.7350989221</v>
      </c>
      <c r="C10" t="n">
        <v>214641.2657052367</v>
      </c>
      <c r="D10" t="n">
        <v>61.91501655392217</v>
      </c>
      <c r="E10" t="n">
        <v>1.284852322474362</v>
      </c>
      <c r="F10" t="n">
        <v>5.268193111490696</v>
      </c>
      <c r="G10" t="n">
        <v>5.465745478400143</v>
      </c>
      <c r="H10" t="n">
        <v>7.189612094383546</v>
      </c>
      <c r="I10" t="n">
        <v>86.08971850273002</v>
      </c>
      <c r="J10" t="n">
        <v>1287.638031663404</v>
      </c>
      <c r="K10" t="n">
        <v>782.1333391094723</v>
      </c>
      <c r="L10" t="n">
        <v>5.632241476123454</v>
      </c>
      <c r="M10" t="n">
        <v>4.117344019603934</v>
      </c>
      <c r="N10" t="n">
        <v>1.284852322474362</v>
      </c>
      <c r="O10" t="n">
        <v>1.284852322474362</v>
      </c>
      <c r="P10" t="n">
        <v>1.380538518863329</v>
      </c>
      <c r="Q10" t="n">
        <v>1.389261671216164</v>
      </c>
      <c r="R10" t="n">
        <v>3.887654592627367</v>
      </c>
      <c r="S10" t="n">
        <v>5.809073575520216</v>
      </c>
      <c r="T10" t="n">
        <v>5.800350423167382</v>
      </c>
      <c r="U10" t="n">
        <v>4.085206959536814</v>
      </c>
      <c r="V10">
        <f>T10-R10</f>
        <v/>
      </c>
      <c r="W10">
        <f>T10-Settings!$B$5</f>
        <v/>
      </c>
      <c r="X10">
        <f>0.5*(R10+W10)</f>
        <v/>
      </c>
      <c r="Y10">
        <f>AVERAGE(L2:L10)</f>
        <v/>
      </c>
      <c r="Z10">
        <f>AVERAGE(M2:M10)</f>
        <v/>
      </c>
      <c r="AA10">
        <f>AVERAGE(R2:R10)</f>
        <v/>
      </c>
      <c r="AB10">
        <f>AVERAGE(W2:W10)</f>
        <v/>
      </c>
      <c r="AC10">
        <f>AVERAGE(X2:X10)</f>
        <v/>
      </c>
      <c r="AD10">
        <f>0.5*Y10+0.5*AA10</f>
        <v/>
      </c>
      <c r="AE10">
        <f>Settings!$B$3+Settings!$B$4*Z10</f>
        <v/>
      </c>
      <c r="AF10">
        <f>AC10</f>
        <v/>
      </c>
      <c r="AG10">
        <f>0.5*Y10+0.5*AC10</f>
        <v/>
      </c>
      <c r="AH10">
        <f>(AA10+AB10+Y10)/3</f>
        <v/>
      </c>
      <c r="AI10">
        <f>0.7*AA10+0.3*Y10</f>
        <v/>
      </c>
    </row>
    <row r="11">
      <c r="A11" t="inlineStr">
        <is>
          <t>1987-04-01</t>
        </is>
      </c>
      <c r="B11" t="n">
        <v>395448.9428646595</v>
      </c>
      <c r="C11" t="n">
        <v>216433.2660351956</v>
      </c>
      <c r="D11" t="n">
        <v>62.16217844013251</v>
      </c>
      <c r="E11" t="n">
        <v>1.384281835323735</v>
      </c>
      <c r="F11" t="n">
        <v>5.144759249098584</v>
      </c>
      <c r="G11" t="n">
        <v>5.293589682618118</v>
      </c>
      <c r="H11" t="n">
        <v>6.67747580578829</v>
      </c>
      <c r="I11" t="n">
        <v>86.0657403935753</v>
      </c>
      <c r="J11" t="n">
        <v>1288.777696269746</v>
      </c>
      <c r="K11" t="n">
        <v>782.9926111474745</v>
      </c>
      <c r="L11" t="n">
        <v>4.558658425367867</v>
      </c>
      <c r="M11" t="n">
        <v>3.437088152008528</v>
      </c>
      <c r="N11" t="n">
        <v>1.384281835323735</v>
      </c>
      <c r="O11" t="n">
        <v>1.384281835323735</v>
      </c>
      <c r="P11" t="n">
        <v>1.343431831772602</v>
      </c>
      <c r="Q11" t="n">
        <v>1.388763687626921</v>
      </c>
      <c r="R11" t="n">
        <v>3.801327417325982</v>
      </c>
      <c r="S11" t="n">
        <v>5.334043974015688</v>
      </c>
      <c r="T11" t="n">
        <v>5.288712118161369</v>
      </c>
      <c r="U11" t="n">
        <v>3.950157850845517</v>
      </c>
      <c r="V11">
        <f>T11-R11</f>
        <v/>
      </c>
      <c r="W11">
        <f>T11-Settings!$B$5</f>
        <v/>
      </c>
      <c r="X11">
        <f>0.5*(R11+W11)</f>
        <v/>
      </c>
      <c r="Y11">
        <f>AVERAGE(L2:L11)</f>
        <v/>
      </c>
      <c r="Z11">
        <f>AVERAGE(M2:M11)</f>
        <v/>
      </c>
      <c r="AA11">
        <f>AVERAGE(R2:R11)</f>
        <v/>
      </c>
      <c r="AB11">
        <f>AVERAGE(W2:W11)</f>
        <v/>
      </c>
      <c r="AC11">
        <f>AVERAGE(X2:X11)</f>
        <v/>
      </c>
      <c r="AD11">
        <f>0.5*Y11+0.5*AA11</f>
        <v/>
      </c>
      <c r="AE11">
        <f>Settings!$B$3+Settings!$B$4*Z11</f>
        <v/>
      </c>
      <c r="AF11">
        <f>AC11</f>
        <v/>
      </c>
      <c r="AG11">
        <f>0.5*Y11+0.5*AC11</f>
        <v/>
      </c>
      <c r="AH11">
        <f>(AA11+AB11+Y11)/3</f>
        <v/>
      </c>
      <c r="AI11">
        <f>0.7*AA11+0.3*Y11</f>
        <v/>
      </c>
    </row>
    <row r="12">
      <c r="A12" t="inlineStr">
        <is>
          <t>1987-07-01</t>
        </is>
      </c>
      <c r="B12" t="n">
        <v>401938.9657541627</v>
      </c>
      <c r="C12" t="n">
        <v>219939.2780864801</v>
      </c>
      <c r="D12" t="n">
        <v>62.44981256231903</v>
      </c>
      <c r="E12" t="n">
        <v>1.468471581066018</v>
      </c>
      <c r="F12" t="n">
        <v>4.96402598833576</v>
      </c>
      <c r="G12" t="n">
        <v>5.11555623815614</v>
      </c>
      <c r="H12" t="n">
        <v>6.803619375778842</v>
      </c>
      <c r="I12" t="n">
        <v>85.99451329091849</v>
      </c>
      <c r="J12" t="n">
        <v>1290.405552959217</v>
      </c>
      <c r="K12" t="n">
        <v>784.6823283263809</v>
      </c>
      <c r="L12" t="n">
        <v>6.511426757883783</v>
      </c>
      <c r="M12" t="n">
        <v>6.758868715625795</v>
      </c>
      <c r="N12" t="n">
        <v>1.468471581066018</v>
      </c>
      <c r="O12" t="n">
        <v>1.468471581066018</v>
      </c>
      <c r="P12" t="n">
        <v>1.355093449999953</v>
      </c>
      <c r="Q12" t="n">
        <v>1.396009859757748</v>
      </c>
      <c r="R12" t="n">
        <v>3.608932538335807</v>
      </c>
      <c r="S12" t="n">
        <v>5.448525925778888</v>
      </c>
      <c r="T12" t="n">
        <v>5.407609516021094</v>
      </c>
      <c r="U12" t="n">
        <v>3.760462788156187</v>
      </c>
      <c r="V12">
        <f>T12-R12</f>
        <v/>
      </c>
      <c r="W12">
        <f>T12-Settings!$B$5</f>
        <v/>
      </c>
      <c r="X12">
        <f>0.5*(R12+W12)</f>
        <v/>
      </c>
      <c r="Y12">
        <f>AVERAGE(L2:L12)</f>
        <v/>
      </c>
      <c r="Z12">
        <f>AVERAGE(M2:M12)</f>
        <v/>
      </c>
      <c r="AA12">
        <f>AVERAGE(R2:R12)</f>
        <v/>
      </c>
      <c r="AB12">
        <f>AVERAGE(W2:W12)</f>
        <v/>
      </c>
      <c r="AC12">
        <f>AVERAGE(X2:X12)</f>
        <v/>
      </c>
      <c r="AD12">
        <f>0.5*Y12+0.5*AA12</f>
        <v/>
      </c>
      <c r="AE12">
        <f>Settings!$B$3+Settings!$B$4*Z12</f>
        <v/>
      </c>
      <c r="AF12">
        <f>AC12</f>
        <v/>
      </c>
      <c r="AG12">
        <f>0.5*Y12+0.5*AC12</f>
        <v/>
      </c>
      <c r="AH12">
        <f>(AA12+AB12+Y12)/3</f>
        <v/>
      </c>
      <c r="AI12">
        <f>0.7*AA12+0.3*Y12</f>
        <v/>
      </c>
    </row>
    <row r="13">
      <c r="A13" t="inlineStr">
        <is>
          <t>1987-10-01</t>
        </is>
      </c>
      <c r="B13" t="n">
        <v>408228.3121469437</v>
      </c>
      <c r="C13" t="n">
        <v>224680.6267995081</v>
      </c>
      <c r="D13" t="n">
        <v>62.71306544710004</v>
      </c>
      <c r="E13" t="n">
        <v>1.605370702686435</v>
      </c>
      <c r="F13" t="n">
        <v>4.824874827197956</v>
      </c>
      <c r="G13" t="n">
        <v>5.039336832263722</v>
      </c>
      <c r="H13" t="n">
        <v>6.781018647378313</v>
      </c>
      <c r="I13" t="n">
        <v>86.01763600815131</v>
      </c>
      <c r="J13" t="n">
        <v>1291.958188547044</v>
      </c>
      <c r="K13" t="n">
        <v>786.7882891293922</v>
      </c>
      <c r="L13" t="n">
        <v>6.210542351306685</v>
      </c>
      <c r="M13" t="n">
        <v>8.423843212045085</v>
      </c>
      <c r="N13" t="n">
        <v>1.605370702686435</v>
      </c>
      <c r="O13" t="n">
        <v>1.605370702686435</v>
      </c>
      <c r="P13" t="n">
        <v>1.435744110387637</v>
      </c>
      <c r="Q13" t="n">
        <v>1.413456596668472</v>
      </c>
      <c r="R13" t="n">
        <v>3.389130716810318</v>
      </c>
      <c r="S13" t="n">
        <v>5.345274536990676</v>
      </c>
      <c r="T13" t="n">
        <v>5.367562050709841</v>
      </c>
      <c r="U13" t="n">
        <v>3.603592721876084</v>
      </c>
      <c r="V13">
        <f>T13-R13</f>
        <v/>
      </c>
      <c r="W13">
        <f>T13-Settings!$B$5</f>
        <v/>
      </c>
      <c r="X13">
        <f>0.5*(R13+W13)</f>
        <v/>
      </c>
      <c r="Y13">
        <f>AVERAGE(L2:L13)</f>
        <v/>
      </c>
      <c r="Z13">
        <f>AVERAGE(M2:M13)</f>
        <v/>
      </c>
      <c r="AA13">
        <f>AVERAGE(R2:R13)</f>
        <v/>
      </c>
      <c r="AB13">
        <f>AVERAGE(W2:W13)</f>
        <v/>
      </c>
      <c r="AC13">
        <f>AVERAGE(X2:X13)</f>
        <v/>
      </c>
      <c r="AD13">
        <f>0.5*Y13+0.5*AA13</f>
        <v/>
      </c>
      <c r="AE13">
        <f>Settings!$B$3+Settings!$B$4*Z13</f>
        <v/>
      </c>
      <c r="AF13">
        <f>AC13</f>
        <v/>
      </c>
      <c r="AG13">
        <f>0.5*Y13+0.5*AC13</f>
        <v/>
      </c>
      <c r="AH13">
        <f>(AA13+AB13+Y13)/3</f>
        <v/>
      </c>
      <c r="AI13">
        <f>0.7*AA13+0.3*Y13</f>
        <v/>
      </c>
    </row>
    <row r="14">
      <c r="A14" t="inlineStr">
        <is>
          <t>1988-01-01</t>
        </is>
      </c>
      <c r="B14" t="n">
        <v>413497.5551782973</v>
      </c>
      <c r="C14" t="n">
        <v>228864.692437824</v>
      </c>
      <c r="D14" t="n">
        <v>62.8405986008782</v>
      </c>
      <c r="E14" t="n">
        <v>1.483859510346321</v>
      </c>
      <c r="F14" t="n">
        <v>4.651773558107918</v>
      </c>
      <c r="G14" t="n">
        <v>4.836091997222828</v>
      </c>
      <c r="H14" t="n">
        <v>6.338995481618746</v>
      </c>
      <c r="I14" t="n">
        <v>86.03834114358921</v>
      </c>
      <c r="J14" t="n">
        <v>1293.240688092126</v>
      </c>
      <c r="K14" t="n">
        <v>788.609322103818</v>
      </c>
      <c r="L14" t="n">
        <v>5.129998180330404</v>
      </c>
      <c r="M14" t="n">
        <v>7.284131897703446</v>
      </c>
      <c r="N14" t="n">
        <v>1.483859510346321</v>
      </c>
      <c r="O14" t="n">
        <v>1.483859510346321</v>
      </c>
      <c r="P14" t="n">
        <v>1.485495907355627</v>
      </c>
      <c r="Q14" t="n">
        <v>1.418872205412922</v>
      </c>
      <c r="R14" t="n">
        <v>3.16627765075229</v>
      </c>
      <c r="S14" t="n">
        <v>4.853499574263119</v>
      </c>
      <c r="T14" t="n">
        <v>4.920123276205825</v>
      </c>
      <c r="U14" t="n">
        <v>3.3505960898672</v>
      </c>
      <c r="V14">
        <f>T14-R14</f>
        <v/>
      </c>
      <c r="W14">
        <f>T14-Settings!$B$5</f>
        <v/>
      </c>
      <c r="X14">
        <f>0.5*(R14+W14)</f>
        <v/>
      </c>
      <c r="Y14">
        <f>AVERAGE(L2:L14)</f>
        <v/>
      </c>
      <c r="Z14">
        <f>AVERAGE(M2:M14)</f>
        <v/>
      </c>
      <c r="AA14">
        <f>AVERAGE(R2:R14)</f>
        <v/>
      </c>
      <c r="AB14">
        <f>AVERAGE(W2:W14)</f>
        <v/>
      </c>
      <c r="AC14">
        <f>AVERAGE(X2:X14)</f>
        <v/>
      </c>
      <c r="AD14">
        <f>0.5*Y14+0.5*AA14</f>
        <v/>
      </c>
      <c r="AE14">
        <f>Settings!$B$3+Settings!$B$4*Z14</f>
        <v/>
      </c>
      <c r="AF14">
        <f>AC14</f>
        <v/>
      </c>
      <c r="AG14">
        <f>0.5*Y14+0.5*AC14</f>
        <v/>
      </c>
      <c r="AH14">
        <f>(AA14+AB14+Y14)/3</f>
        <v/>
      </c>
      <c r="AI14">
        <f>0.7*AA14+0.3*Y14</f>
        <v/>
      </c>
    </row>
    <row r="15">
      <c r="A15" t="inlineStr">
        <is>
          <t>1988-04-01</t>
        </is>
      </c>
      <c r="B15" t="n">
        <v>419890.2541495987</v>
      </c>
      <c r="C15" t="n">
        <v>231087.4807062768</v>
      </c>
      <c r="D15" t="n">
        <v>63.09109372509206</v>
      </c>
      <c r="E15" t="n">
        <v>1.483286304657247</v>
      </c>
      <c r="F15" t="n">
        <v>4.672825224603368</v>
      </c>
      <c r="G15" t="n">
        <v>4.795882894348751</v>
      </c>
      <c r="H15" t="n">
        <v>6.434844573424379</v>
      </c>
      <c r="I15" t="n">
        <v>86.00605889746497</v>
      </c>
      <c r="J15" t="n">
        <v>1294.774865647104</v>
      </c>
      <c r="K15" t="n">
        <v>789.6133876101746</v>
      </c>
      <c r="L15" t="n">
        <v>6.136710219910128</v>
      </c>
      <c r="M15" t="n">
        <v>4.016262025426386</v>
      </c>
      <c r="N15" t="n">
        <v>1.483286304657247</v>
      </c>
      <c r="O15" t="n">
        <v>1.483286304657247</v>
      </c>
      <c r="P15" t="n">
        <v>1.510247024689005</v>
      </c>
      <c r="Q15" t="n">
        <v>1.423473212501802</v>
      </c>
      <c r="R15" t="n">
        <v>3.162578199914363</v>
      </c>
      <c r="S15" t="n">
        <v>4.924597548735374</v>
      </c>
      <c r="T15" t="n">
        <v>5.011371360922577</v>
      </c>
      <c r="U15" t="n">
        <v>3.285635869659746</v>
      </c>
      <c r="V15">
        <f>T15-R15</f>
        <v/>
      </c>
      <c r="W15">
        <f>T15-Settings!$B$5</f>
        <v/>
      </c>
      <c r="X15">
        <f>0.5*(R15+W15)</f>
        <v/>
      </c>
      <c r="Y15">
        <f>AVERAGE(L2:L15)</f>
        <v/>
      </c>
      <c r="Z15">
        <f>AVERAGE(M2:M15)</f>
        <v/>
      </c>
      <c r="AA15">
        <f>AVERAGE(R2:R15)</f>
        <v/>
      </c>
      <c r="AB15">
        <f>AVERAGE(W2:W15)</f>
        <v/>
      </c>
      <c r="AC15">
        <f>AVERAGE(X2:X15)</f>
        <v/>
      </c>
      <c r="AD15">
        <f>0.5*Y15+0.5*AA15</f>
        <v/>
      </c>
      <c r="AE15">
        <f>Settings!$B$3+Settings!$B$4*Z15</f>
        <v/>
      </c>
      <c r="AF15">
        <f>AC15</f>
        <v/>
      </c>
      <c r="AG15">
        <f>0.5*Y15+0.5*AC15</f>
        <v/>
      </c>
      <c r="AH15">
        <f>(AA15+AB15+Y15)/3</f>
        <v/>
      </c>
      <c r="AI15">
        <f>0.7*AA15+0.3*Y15</f>
        <v/>
      </c>
    </row>
    <row r="16">
      <c r="A16" t="inlineStr">
        <is>
          <t>1988-07-01</t>
        </is>
      </c>
      <c r="B16" t="n">
        <v>425221.4774339255</v>
      </c>
      <c r="C16" t="n">
        <v>233760.8542770788</v>
      </c>
      <c r="D16" t="n">
        <v>63.33155089685594</v>
      </c>
      <c r="E16" t="n">
        <v>1.402040419941688</v>
      </c>
      <c r="F16" t="n">
        <v>4.72102075061237</v>
      </c>
      <c r="G16" t="n">
        <v>4.944566071710614</v>
      </c>
      <c r="H16" t="n">
        <v>6.445731558889507</v>
      </c>
      <c r="I16" t="n">
        <v>86.00653820939557</v>
      </c>
      <c r="J16" t="n">
        <v>1296.036543554286</v>
      </c>
      <c r="K16" t="n">
        <v>790.7630562428459</v>
      </c>
      <c r="L16" t="n">
        <v>5.046711628730918</v>
      </c>
      <c r="M16" t="n">
        <v>4.598674530685003</v>
      </c>
      <c r="N16" t="n">
        <v>1.402040419941688</v>
      </c>
      <c r="O16" t="n">
        <v>1.402040419941688</v>
      </c>
      <c r="P16" t="n">
        <v>1.493639234407923</v>
      </c>
      <c r="Q16" t="n">
        <v>1.422044359664461</v>
      </c>
      <c r="R16" t="n">
        <v>3.227381516204447</v>
      </c>
      <c r="S16" t="n">
        <v>4.952092324481585</v>
      </c>
      <c r="T16" t="n">
        <v>5.023687199225046</v>
      </c>
      <c r="U16" t="n">
        <v>3.450926837302692</v>
      </c>
      <c r="V16">
        <f>T16-R16</f>
        <v/>
      </c>
      <c r="W16">
        <f>T16-Settings!$B$5</f>
        <v/>
      </c>
      <c r="X16">
        <f>0.5*(R16+W16)</f>
        <v/>
      </c>
      <c r="Y16">
        <f>AVERAGE(L2:L16)</f>
        <v/>
      </c>
      <c r="Z16">
        <f>AVERAGE(M2:M16)</f>
        <v/>
      </c>
      <c r="AA16">
        <f>AVERAGE(R2:R16)</f>
        <v/>
      </c>
      <c r="AB16">
        <f>AVERAGE(W2:W16)</f>
        <v/>
      </c>
      <c r="AC16">
        <f>AVERAGE(X2:X16)</f>
        <v/>
      </c>
      <c r="AD16">
        <f>0.5*Y16+0.5*AA16</f>
        <v/>
      </c>
      <c r="AE16">
        <f>Settings!$B$3+Settings!$B$4*Z16</f>
        <v/>
      </c>
      <c r="AF16">
        <f>AC16</f>
        <v/>
      </c>
      <c r="AG16">
        <f>0.5*Y16+0.5*AC16</f>
        <v/>
      </c>
      <c r="AH16">
        <f>(AA16+AB16+Y16)/3</f>
        <v/>
      </c>
      <c r="AI16">
        <f>0.7*AA16+0.3*Y16</f>
        <v/>
      </c>
    </row>
    <row r="17">
      <c r="A17" t="inlineStr">
        <is>
          <t>1988-10-01</t>
        </is>
      </c>
      <c r="B17" t="n">
        <v>428566.8272312802</v>
      </c>
      <c r="C17" t="n">
        <v>235981.3994146256</v>
      </c>
      <c r="D17" t="n">
        <v>63.58922622869126</v>
      </c>
      <c r="E17" t="n">
        <v>1.387425080927807</v>
      </c>
      <c r="F17" t="n">
        <v>4.521744213573182</v>
      </c>
      <c r="G17" t="n">
        <v>4.729915306231409</v>
      </c>
      <c r="H17" t="n">
        <v>6.232309608965429</v>
      </c>
      <c r="I17" t="n">
        <v>86.04118765659381</v>
      </c>
      <c r="J17" t="n">
        <v>1296.820196105909</v>
      </c>
      <c r="K17" t="n">
        <v>791.6682157017474</v>
      </c>
      <c r="L17" t="n">
        <v>3.134610206489924</v>
      </c>
      <c r="M17" t="n">
        <v>3.620637835605976</v>
      </c>
      <c r="N17" t="n">
        <v>1.387425080927807</v>
      </c>
      <c r="O17" t="n">
        <v>1.387425080927807</v>
      </c>
      <c r="P17" t="n">
        <v>1.439152828968266</v>
      </c>
      <c r="Q17" t="n">
        <v>1.41988065474342</v>
      </c>
      <c r="R17" t="n">
        <v>3.082591384604917</v>
      </c>
      <c r="S17" t="n">
        <v>4.793156779997163</v>
      </c>
      <c r="T17" t="n">
        <v>4.812428954222009</v>
      </c>
      <c r="U17" t="n">
        <v>3.290762477263144</v>
      </c>
      <c r="V17">
        <f>T17-R17</f>
        <v/>
      </c>
      <c r="W17">
        <f>T17-Settings!$B$5</f>
        <v/>
      </c>
      <c r="X17">
        <f>0.5*(R17+W17)</f>
        <v/>
      </c>
      <c r="Y17">
        <f>AVERAGE(L2:L17)</f>
        <v/>
      </c>
      <c r="Z17">
        <f>AVERAGE(M2:M17)</f>
        <v/>
      </c>
      <c r="AA17">
        <f>AVERAGE(R2:R17)</f>
        <v/>
      </c>
      <c r="AB17">
        <f>AVERAGE(W2:W17)</f>
        <v/>
      </c>
      <c r="AC17">
        <f>AVERAGE(X2:X17)</f>
        <v/>
      </c>
      <c r="AD17">
        <f>0.5*Y17+0.5*AA17</f>
        <v/>
      </c>
      <c r="AE17">
        <f>Settings!$B$3+Settings!$B$4*Z17</f>
        <v/>
      </c>
      <c r="AF17">
        <f>AC17</f>
        <v/>
      </c>
      <c r="AG17">
        <f>0.5*Y17+0.5*AC17</f>
        <v/>
      </c>
      <c r="AH17">
        <f>(AA17+AB17+Y17)/3</f>
        <v/>
      </c>
      <c r="AI17">
        <f>0.7*AA17+0.3*Y17</f>
        <v/>
      </c>
    </row>
    <row r="18">
      <c r="A18" t="inlineStr">
        <is>
          <t>1989-01-01</t>
        </is>
      </c>
      <c r="B18" t="n">
        <v>433174.4196381723</v>
      </c>
      <c r="C18" t="n">
        <v>239493.7857669806</v>
      </c>
      <c r="D18" t="n">
        <v>63.90555014479692</v>
      </c>
      <c r="E18" t="n">
        <v>1.680487520196505</v>
      </c>
      <c r="F18" t="n">
        <v>4.372021385697526</v>
      </c>
      <c r="G18" t="n">
        <v>4.550605140976431</v>
      </c>
      <c r="H18" t="n">
        <v>6.139395185195221</v>
      </c>
      <c r="I18" t="n">
        <v>85.9970358676987</v>
      </c>
      <c r="J18" t="n">
        <v>1297.889574259209</v>
      </c>
      <c r="K18" t="n">
        <v>793.1969919798441</v>
      </c>
      <c r="L18" t="n">
        <v>4.277512613199178</v>
      </c>
      <c r="M18" t="n">
        <v>6.115105112387027</v>
      </c>
      <c r="N18" t="n">
        <v>1.680487520196505</v>
      </c>
      <c r="O18" t="n">
        <v>1.680487520196505</v>
      </c>
      <c r="P18" t="n">
        <v>1.488309831430812</v>
      </c>
      <c r="Q18" t="n">
        <v>1.435210470358308</v>
      </c>
      <c r="R18" t="n">
        <v>2.883711554266714</v>
      </c>
      <c r="S18" t="n">
        <v>4.65108535376441</v>
      </c>
      <c r="T18" t="n">
        <v>4.704184714836913</v>
      </c>
      <c r="U18" t="n">
        <v>3.06229530954562</v>
      </c>
      <c r="V18">
        <f>T18-R18</f>
        <v/>
      </c>
      <c r="W18">
        <f>T18-Settings!$B$5</f>
        <v/>
      </c>
      <c r="X18">
        <f>0.5*(R18+W18)</f>
        <v/>
      </c>
      <c r="Y18">
        <f>AVERAGE(L2:L18)</f>
        <v/>
      </c>
      <c r="Z18">
        <f>AVERAGE(M2:M18)</f>
        <v/>
      </c>
      <c r="AA18">
        <f>AVERAGE(R2:R18)</f>
        <v/>
      </c>
      <c r="AB18">
        <f>AVERAGE(W2:W18)</f>
        <v/>
      </c>
      <c r="AC18">
        <f>AVERAGE(X2:X18)</f>
        <v/>
      </c>
      <c r="AD18">
        <f>0.5*Y18+0.5*AA18</f>
        <v/>
      </c>
      <c r="AE18">
        <f>Settings!$B$3+Settings!$B$4*Z18</f>
        <v/>
      </c>
      <c r="AF18">
        <f>AC18</f>
        <v/>
      </c>
      <c r="AG18">
        <f>0.5*Y18+0.5*AC18</f>
        <v/>
      </c>
      <c r="AH18">
        <f>(AA18+AB18+Y18)/3</f>
        <v/>
      </c>
      <c r="AI18">
        <f>0.7*AA18+0.3*Y18</f>
        <v/>
      </c>
    </row>
    <row r="19">
      <c r="A19" t="inlineStr">
        <is>
          <t>1989-04-01</t>
        </is>
      </c>
      <c r="B19" t="n">
        <v>435731.2036839406</v>
      </c>
      <c r="C19" t="n">
        <v>239862.5562893558</v>
      </c>
      <c r="D19" t="n">
        <v>64.0464618019888</v>
      </c>
      <c r="E19" t="n">
        <v>1.50291714475888</v>
      </c>
      <c r="F19" t="n">
        <v>4.323254010475015</v>
      </c>
      <c r="G19" t="n">
        <v>4.483749104143268</v>
      </c>
      <c r="H19" t="n">
        <v>6.266002538843465</v>
      </c>
      <c r="I19" t="n">
        <v>85.96353565318131</v>
      </c>
      <c r="J19" t="n">
        <v>1298.478082690157</v>
      </c>
      <c r="K19" t="n">
        <v>793.3898153845796</v>
      </c>
      <c r="L19" t="n">
        <v>2.354033723791872</v>
      </c>
      <c r="M19" t="n">
        <v>0.7712936189418542</v>
      </c>
      <c r="N19" t="n">
        <v>0.3029171447588805</v>
      </c>
      <c r="O19" t="n">
        <v>0.3029171447588805</v>
      </c>
      <c r="P19" t="n">
        <v>1.19321754145622</v>
      </c>
      <c r="Q19" t="n">
        <v>1.372305285602784</v>
      </c>
      <c r="R19" t="n">
        <v>3.130036469018795</v>
      </c>
      <c r="S19" t="n">
        <v>5.072784997387245</v>
      </c>
      <c r="T19" t="n">
        <v>4.893697253240681</v>
      </c>
      <c r="U19" t="n">
        <v>3.290531562687047</v>
      </c>
      <c r="V19">
        <f>T19-R19</f>
        <v/>
      </c>
      <c r="W19">
        <f>T19-Settings!$B$5</f>
        <v/>
      </c>
      <c r="X19">
        <f>0.5*(R19+W19)</f>
        <v/>
      </c>
      <c r="Y19">
        <f>AVERAGE(L2:L19)</f>
        <v/>
      </c>
      <c r="Z19">
        <f>AVERAGE(M2:M19)</f>
        <v/>
      </c>
      <c r="AA19">
        <f>AVERAGE(R2:R19)</f>
        <v/>
      </c>
      <c r="AB19">
        <f>AVERAGE(W2:W19)</f>
        <v/>
      </c>
      <c r="AC19">
        <f>AVERAGE(X2:X19)</f>
        <v/>
      </c>
      <c r="AD19">
        <f>0.5*Y19+0.5*AA19</f>
        <v/>
      </c>
      <c r="AE19">
        <f>Settings!$B$3+Settings!$B$4*Z19</f>
        <v/>
      </c>
      <c r="AF19">
        <f>AC19</f>
        <v/>
      </c>
      <c r="AG19">
        <f>0.5*Y19+0.5*AC19</f>
        <v/>
      </c>
      <c r="AH19">
        <f>(AA19+AB19+Y19)/3</f>
        <v/>
      </c>
      <c r="AI19">
        <f>0.7*AA19+0.3*Y19</f>
        <v/>
      </c>
    </row>
    <row r="20">
      <c r="A20" t="inlineStr">
        <is>
          <t>1989-07-01</t>
        </is>
      </c>
      <c r="B20" t="n">
        <v>440374.7253112237</v>
      </c>
      <c r="C20" t="n">
        <v>241808.3096095723</v>
      </c>
      <c r="D20" t="n">
        <v>64.25859300244724</v>
      </c>
      <c r="E20" t="n">
        <v>1.453181869877104</v>
      </c>
      <c r="F20" t="n">
        <v>4.121952082350278</v>
      </c>
      <c r="G20" t="n">
        <v>4.347026319239708</v>
      </c>
      <c r="H20" t="n">
        <v>6.10569074989903</v>
      </c>
      <c r="I20" t="n">
        <v>85.9792763467082</v>
      </c>
      <c r="J20" t="n">
        <v>1299.538129188229</v>
      </c>
      <c r="K20" t="n">
        <v>794.1794287701107</v>
      </c>
      <c r="L20" t="n">
        <v>4.240185992287479</v>
      </c>
      <c r="M20" t="n">
        <v>3.158453542124334</v>
      </c>
      <c r="N20" t="n">
        <v>0.253181869877104</v>
      </c>
      <c r="O20" t="n">
        <v>0.253181869877104</v>
      </c>
      <c r="P20" t="n">
        <v>0.9060029039400743</v>
      </c>
      <c r="Q20" t="n">
        <v>1.313404053196169</v>
      </c>
      <c r="R20" t="n">
        <v>3.215949178410204</v>
      </c>
      <c r="S20" t="n">
        <v>5.199687845958955</v>
      </c>
      <c r="T20" t="n">
        <v>4.792286696702861</v>
      </c>
      <c r="U20" t="n">
        <v>3.441023415299634</v>
      </c>
      <c r="V20">
        <f>T20-R20</f>
        <v/>
      </c>
      <c r="W20">
        <f>T20-Settings!$B$5</f>
        <v/>
      </c>
      <c r="X20">
        <f>0.5*(R20+W20)</f>
        <v/>
      </c>
      <c r="Y20">
        <f>AVERAGE(L2:L20)</f>
        <v/>
      </c>
      <c r="Z20">
        <f>AVERAGE(M2:M20)</f>
        <v/>
      </c>
      <c r="AA20">
        <f>AVERAGE(R2:R20)</f>
        <v/>
      </c>
      <c r="AB20">
        <f>AVERAGE(W2:W20)</f>
        <v/>
      </c>
      <c r="AC20">
        <f>AVERAGE(X2:X20)</f>
        <v/>
      </c>
      <c r="AD20">
        <f>0.5*Y20+0.5*AA20</f>
        <v/>
      </c>
      <c r="AE20">
        <f>Settings!$B$3+Settings!$B$4*Z20</f>
        <v/>
      </c>
      <c r="AF20">
        <f>AC20</f>
        <v/>
      </c>
      <c r="AG20">
        <f>0.5*Y20+0.5*AC20</f>
        <v/>
      </c>
      <c r="AH20">
        <f>(AA20+AB20+Y20)/3</f>
        <v/>
      </c>
      <c r="AI20">
        <f>0.7*AA20+0.3*Y20</f>
        <v/>
      </c>
    </row>
    <row r="21">
      <c r="A21" t="inlineStr">
        <is>
          <t>1989-10-01</t>
        </is>
      </c>
      <c r="B21" t="n">
        <v>443501.3884154679</v>
      </c>
      <c r="C21" t="n">
        <v>245007.5647054049</v>
      </c>
      <c r="D21" t="n">
        <v>64.52860654490703</v>
      </c>
      <c r="E21" t="n">
        <v>1.466458072683654</v>
      </c>
      <c r="F21" t="n">
        <v>4.085133831865118</v>
      </c>
      <c r="G21" t="n">
        <v>4.295614350541931</v>
      </c>
      <c r="H21" t="n">
        <v>5.851539909361103</v>
      </c>
      <c r="I21" t="n">
        <v>86.03169551888669</v>
      </c>
      <c r="J21" t="n">
        <v>1300.245621131417</v>
      </c>
      <c r="K21" t="n">
        <v>795.4328584498896</v>
      </c>
      <c r="L21" t="n">
        <v>2.829967772754571</v>
      </c>
      <c r="M21" t="n">
        <v>5.013718719115786</v>
      </c>
      <c r="N21" t="n">
        <v>0.2664580726836536</v>
      </c>
      <c r="O21" t="n">
        <v>0.2664580726836536</v>
      </c>
      <c r="P21" t="n">
        <v>0.6257611518790359</v>
      </c>
      <c r="Q21" t="n">
        <v>1.261056754170544</v>
      </c>
      <c r="R21" t="n">
        <v>3.459372679986082</v>
      </c>
      <c r="S21" t="n">
        <v>5.225778757482066</v>
      </c>
      <c r="T21" t="n">
        <v>4.590483155190559</v>
      </c>
      <c r="U21" t="n">
        <v>3.669853198662895</v>
      </c>
      <c r="V21">
        <f>T21-R21</f>
        <v/>
      </c>
      <c r="W21">
        <f>T21-Settings!$B$5</f>
        <v/>
      </c>
      <c r="X21">
        <f>0.5*(R21+W21)</f>
        <v/>
      </c>
      <c r="Y21">
        <f>AVERAGE(L2:L21)</f>
        <v/>
      </c>
      <c r="Z21">
        <f>AVERAGE(M2:M21)</f>
        <v/>
      </c>
      <c r="AA21">
        <f>AVERAGE(R2:R21)</f>
        <v/>
      </c>
      <c r="AB21">
        <f>AVERAGE(W2:W21)</f>
        <v/>
      </c>
      <c r="AC21">
        <f>AVERAGE(X2:X21)</f>
        <v/>
      </c>
      <c r="AD21">
        <f>0.5*Y21+0.5*AA21</f>
        <v/>
      </c>
      <c r="AE21">
        <f>Settings!$B$3+Settings!$B$4*Z21</f>
        <v/>
      </c>
      <c r="AF21">
        <f>AC21</f>
        <v/>
      </c>
      <c r="AG21">
        <f>0.5*Y21+0.5*AC21</f>
        <v/>
      </c>
      <c r="AH21">
        <f>(AA21+AB21+Y21)/3</f>
        <v/>
      </c>
      <c r="AI21">
        <f>0.7*AA21+0.3*Y21</f>
        <v/>
      </c>
    </row>
    <row r="22">
      <c r="A22" t="inlineStr">
        <is>
          <t>1990-01-01</t>
        </is>
      </c>
      <c r="B22" t="n">
        <v>446175.2131685475</v>
      </c>
      <c r="C22" t="n">
        <v>245817.5894326291</v>
      </c>
      <c r="D22" t="n">
        <v>64.5004655757112</v>
      </c>
      <c r="E22" t="n">
        <v>0.9266227666007671</v>
      </c>
      <c r="F22" t="n">
        <v>4.004973873650787</v>
      </c>
      <c r="G22" t="n">
        <v>4.27645194213131</v>
      </c>
      <c r="H22" t="n">
        <v>5.995479895057234</v>
      </c>
      <c r="I22" t="n">
        <v>86.00014966456</v>
      </c>
      <c r="J22" t="n">
        <v>1300.846700849302</v>
      </c>
      <c r="K22" t="n">
        <v>795.7995996953672</v>
      </c>
      <c r="L22" t="n">
        <v>2.404318871539544</v>
      </c>
      <c r="M22" t="n">
        <v>1.466964981910223</v>
      </c>
      <c r="N22" t="n">
        <v>-0.2733772333992328</v>
      </c>
      <c r="O22" t="n">
        <v>-0.2733772333992328</v>
      </c>
      <c r="P22" t="n">
        <v>0.1372949634801013</v>
      </c>
      <c r="Q22" t="n">
        <v>1.189968000389504</v>
      </c>
      <c r="R22" t="n">
        <v>3.867678910170686</v>
      </c>
      <c r="S22" t="n">
        <v>5.858184931577132</v>
      </c>
      <c r="T22" t="n">
        <v>4.80551189466773</v>
      </c>
      <c r="U22" t="n">
        <v>4.139156978651208</v>
      </c>
      <c r="V22">
        <f>T22-R22</f>
        <v/>
      </c>
      <c r="W22">
        <f>T22-Settings!$B$5</f>
        <v/>
      </c>
      <c r="X22">
        <f>0.5*(R22+W22)</f>
        <v/>
      </c>
      <c r="Y22">
        <f>AVERAGE(L3:L22)</f>
        <v/>
      </c>
      <c r="Z22">
        <f>AVERAGE(M3:M22)</f>
        <v/>
      </c>
      <c r="AA22">
        <f>AVERAGE(R3:R22)</f>
        <v/>
      </c>
      <c r="AB22">
        <f>AVERAGE(W3:W22)</f>
        <v/>
      </c>
      <c r="AC22">
        <f>AVERAGE(X3:X22)</f>
        <v/>
      </c>
      <c r="AD22">
        <f>0.5*Y22+0.5*AA22</f>
        <v/>
      </c>
      <c r="AE22">
        <f>Settings!$B$3+Settings!$B$4*Z22</f>
        <v/>
      </c>
      <c r="AF22">
        <f>AC22</f>
        <v/>
      </c>
      <c r="AG22">
        <f>0.5*Y22+0.5*AC22</f>
        <v/>
      </c>
      <c r="AH22">
        <f>(AA22+AB22+Y22)/3</f>
        <v/>
      </c>
      <c r="AI22">
        <f>0.7*AA22+0.3*Y22</f>
        <v/>
      </c>
    </row>
    <row r="23">
      <c r="A23" t="inlineStr">
        <is>
          <t>1990-04-01</t>
        </is>
      </c>
      <c r="B23" t="n">
        <v>447948.3530965716</v>
      </c>
      <c r="C23" t="n">
        <v>247889.7189756793</v>
      </c>
      <c r="D23" t="n">
        <v>64.62035175304172</v>
      </c>
      <c r="E23" t="n">
        <v>0.8920618159651362</v>
      </c>
      <c r="F23" t="n">
        <v>3.895694967408947</v>
      </c>
      <c r="G23" t="n">
        <v>4.108300625370696</v>
      </c>
      <c r="H23" t="n">
        <v>5.69925261510741</v>
      </c>
      <c r="I23" t="n">
        <v>86.01701049884342</v>
      </c>
      <c r="J23" t="n">
        <v>1301.243322148491</v>
      </c>
      <c r="K23" t="n">
        <v>796.619417150474</v>
      </c>
      <c r="L23" t="n">
        <v>1.586485196757167</v>
      </c>
      <c r="M23" t="n">
        <v>3.279269820427089</v>
      </c>
      <c r="N23" t="n">
        <v>0.8920618159651362</v>
      </c>
      <c r="O23" t="n">
        <v>0.8920618159651362</v>
      </c>
      <c r="P23" t="n">
        <v>0.2845811312816653</v>
      </c>
      <c r="Q23" t="n">
        <v>1.172248243949969</v>
      </c>
      <c r="R23" t="n">
        <v>3.611113836127282</v>
      </c>
      <c r="S23" t="n">
        <v>5.414671483825744</v>
      </c>
      <c r="T23" t="n">
        <v>4.527004371157441</v>
      </c>
      <c r="U23" t="n">
        <v>3.823719494089031</v>
      </c>
      <c r="V23">
        <f>T23-R23</f>
        <v/>
      </c>
      <c r="W23">
        <f>T23-Settings!$B$5</f>
        <v/>
      </c>
      <c r="X23">
        <f>0.5*(R23+W23)</f>
        <v/>
      </c>
      <c r="Y23">
        <f>AVERAGE(L4:L23)</f>
        <v/>
      </c>
      <c r="Z23">
        <f>AVERAGE(M4:M23)</f>
        <v/>
      </c>
      <c r="AA23">
        <f>AVERAGE(R4:R23)</f>
        <v/>
      </c>
      <c r="AB23">
        <f>AVERAGE(W4:W23)</f>
        <v/>
      </c>
      <c r="AC23">
        <f>AVERAGE(X4:X23)</f>
        <v/>
      </c>
      <c r="AD23">
        <f>0.5*Y23+0.5*AA23</f>
        <v/>
      </c>
      <c r="AE23">
        <f>Settings!$B$3+Settings!$B$4*Z23</f>
        <v/>
      </c>
      <c r="AF23">
        <f>AC23</f>
        <v/>
      </c>
      <c r="AG23">
        <f>0.5*Y23+0.5*AC23</f>
        <v/>
      </c>
      <c r="AH23">
        <f>(AA23+AB23+Y23)/3</f>
        <v/>
      </c>
      <c r="AI23">
        <f>0.7*AA23+0.3*Y23</f>
        <v/>
      </c>
    </row>
    <row r="24">
      <c r="A24" t="inlineStr">
        <is>
          <t>1990-07-01</t>
        </is>
      </c>
      <c r="B24" t="n">
        <v>452107.0671929372</v>
      </c>
      <c r="C24" t="n">
        <v>248841.205246779</v>
      </c>
      <c r="D24" t="n">
        <v>64.6867035587949</v>
      </c>
      <c r="E24" t="n">
        <v>0.6640213188070185</v>
      </c>
      <c r="F24" t="n">
        <v>3.839540306084504</v>
      </c>
      <c r="G24" t="n">
        <v>4.051171400322365</v>
      </c>
      <c r="H24" t="n">
        <v>5.814909408754612</v>
      </c>
      <c r="I24" t="n">
        <v>86.0335039621101</v>
      </c>
      <c r="J24" t="n">
        <v>1302.167430508473</v>
      </c>
      <c r="K24" t="n">
        <v>796.9833440736681</v>
      </c>
      <c r="L24" t="n">
        <v>3.696433439928114</v>
      </c>
      <c r="M24" t="n">
        <v>1.455707692776741</v>
      </c>
      <c r="N24" t="n">
        <v>0.6640213188070185</v>
      </c>
      <c r="O24" t="n">
        <v>0.6640213188070185</v>
      </c>
      <c r="P24" t="n">
        <v>0.3872909935141439</v>
      </c>
      <c r="Q24" t="n">
        <v>1.131344602898742</v>
      </c>
      <c r="R24" t="n">
        <v>3.45224931257036</v>
      </c>
      <c r="S24" t="n">
        <v>5.427618415240468</v>
      </c>
      <c r="T24" t="n">
        <v>4.68356480585587</v>
      </c>
      <c r="U24" t="n">
        <v>3.663880406808221</v>
      </c>
      <c r="V24">
        <f>T24-R24</f>
        <v/>
      </c>
      <c r="W24">
        <f>T24-Settings!$B$5</f>
        <v/>
      </c>
      <c r="X24">
        <f>0.5*(R24+W24)</f>
        <v/>
      </c>
      <c r="Y24">
        <f>AVERAGE(L5:L24)</f>
        <v/>
      </c>
      <c r="Z24">
        <f>AVERAGE(M5:M24)</f>
        <v/>
      </c>
      <c r="AA24">
        <f>AVERAGE(R5:R24)</f>
        <v/>
      </c>
      <c r="AB24">
        <f>AVERAGE(W5:W24)</f>
        <v/>
      </c>
      <c r="AC24">
        <f>AVERAGE(X5:X24)</f>
        <v/>
      </c>
      <c r="AD24">
        <f>0.5*Y24+0.5*AA24</f>
        <v/>
      </c>
      <c r="AE24">
        <f>Settings!$B$3+Settings!$B$4*Z24</f>
        <v/>
      </c>
      <c r="AF24">
        <f>AC24</f>
        <v/>
      </c>
      <c r="AG24">
        <f>0.5*Y24+0.5*AC24</f>
        <v/>
      </c>
      <c r="AH24">
        <f>(AA24+AB24+Y24)/3</f>
        <v/>
      </c>
      <c r="AI24">
        <f>0.7*AA24+0.3*Y24</f>
        <v/>
      </c>
    </row>
    <row r="25">
      <c r="A25" t="inlineStr">
        <is>
          <t>1990-10-01</t>
        </is>
      </c>
      <c r="B25" t="n">
        <v>454286.2479898835</v>
      </c>
      <c r="C25" t="n">
        <v>248636.6576735292</v>
      </c>
      <c r="D25" t="n">
        <v>64.77635269688062</v>
      </c>
      <c r="E25" t="n">
        <v>0.3831971435357721</v>
      </c>
      <c r="F25" t="n">
        <v>3.717232261311803</v>
      </c>
      <c r="G25" t="n">
        <v>3.912224423408546</v>
      </c>
      <c r="H25" t="n">
        <v>5.507902396346453</v>
      </c>
      <c r="I25" t="n">
        <v>85.98125792685512</v>
      </c>
      <c r="J25" t="n">
        <v>1302.648278052086</v>
      </c>
      <c r="K25" t="n">
        <v>796.9618562218353</v>
      </c>
      <c r="L25" t="n">
        <v>1.923390174448286</v>
      </c>
      <c r="M25" t="n">
        <v>-0.08595140733132212</v>
      </c>
      <c r="N25" t="n">
        <v>0.3831971435357721</v>
      </c>
      <c r="O25" t="n">
        <v>0.3831971435357721</v>
      </c>
      <c r="P25" t="n">
        <v>0.4164757612271735</v>
      </c>
      <c r="Q25" t="n">
        <v>1.07378517804098</v>
      </c>
      <c r="R25" t="n">
        <v>3.300756500084629</v>
      </c>
      <c r="S25" t="n">
        <v>5.091426635119279</v>
      </c>
      <c r="T25" t="n">
        <v>4.434117218305473</v>
      </c>
      <c r="U25" t="n">
        <v>3.495748662181372</v>
      </c>
      <c r="V25">
        <f>T25-R25</f>
        <v/>
      </c>
      <c r="W25">
        <f>T25-Settings!$B$5</f>
        <v/>
      </c>
      <c r="X25">
        <f>0.5*(R25+W25)</f>
        <v/>
      </c>
      <c r="Y25">
        <f>AVERAGE(L6:L25)</f>
        <v/>
      </c>
      <c r="Z25">
        <f>AVERAGE(M6:M25)</f>
        <v/>
      </c>
      <c r="AA25">
        <f>AVERAGE(R6:R25)</f>
        <v/>
      </c>
      <c r="AB25">
        <f>AVERAGE(W6:W25)</f>
        <v/>
      </c>
      <c r="AC25">
        <f>AVERAGE(X6:X25)</f>
        <v/>
      </c>
      <c r="AD25">
        <f>0.5*Y25+0.5*AA25</f>
        <v/>
      </c>
      <c r="AE25">
        <f>Settings!$B$3+Settings!$B$4*Z25</f>
        <v/>
      </c>
      <c r="AF25">
        <f>AC25</f>
        <v/>
      </c>
      <c r="AG25">
        <f>0.5*Y25+0.5*AC25</f>
        <v/>
      </c>
      <c r="AH25">
        <f>(AA25+AB25+Y25)/3</f>
        <v/>
      </c>
      <c r="AI25">
        <f>0.7*AA25+0.3*Y25</f>
        <v/>
      </c>
    </row>
    <row r="26">
      <c r="A26" t="inlineStr">
        <is>
          <t>1991-01-01</t>
        </is>
      </c>
      <c r="B26" t="n">
        <v>456028.5977624219</v>
      </c>
      <c r="C26" t="n">
        <v>249446.8544751756</v>
      </c>
      <c r="D26" t="n">
        <v>64.79720057957537</v>
      </c>
      <c r="E26" t="n">
        <v>0.4589959488806832</v>
      </c>
      <c r="F26" t="n">
        <v>4.0334163009054</v>
      </c>
      <c r="G26" t="n">
        <v>4.257919576921424</v>
      </c>
      <c r="H26" t="n">
        <v>5.846522083510014</v>
      </c>
      <c r="I26" t="n">
        <v>86.03781240818149</v>
      </c>
      <c r="J26" t="n">
        <v>1303.031080092133</v>
      </c>
      <c r="K26" t="n">
        <v>797.2214284580883</v>
      </c>
      <c r="L26" t="n">
        <v>1.531208160191454</v>
      </c>
      <c r="M26" t="n">
        <v>1.038288945012027</v>
      </c>
      <c r="N26" t="n">
        <v>0.4589959488806832</v>
      </c>
      <c r="O26" t="n">
        <v>0.4589959488806832</v>
      </c>
      <c r="P26" t="n">
        <v>0.5995690567971526</v>
      </c>
      <c r="Q26" t="n">
        <v>1.018241655585404</v>
      </c>
      <c r="R26" t="n">
        <v>3.433847244108247</v>
      </c>
      <c r="S26" t="n">
        <v>5.246953026712862</v>
      </c>
      <c r="T26" t="n">
        <v>4.82828042792461</v>
      </c>
      <c r="U26" t="n">
        <v>3.658350520124271</v>
      </c>
      <c r="V26">
        <f>T26-R26</f>
        <v/>
      </c>
      <c r="W26">
        <f>T26-Settings!$B$5</f>
        <v/>
      </c>
      <c r="X26">
        <f>0.5*(R26+W26)</f>
        <v/>
      </c>
      <c r="Y26">
        <f>AVERAGE(L7:L26)</f>
        <v/>
      </c>
      <c r="Z26">
        <f>AVERAGE(M7:M26)</f>
        <v/>
      </c>
      <c r="AA26">
        <f>AVERAGE(R7:R26)</f>
        <v/>
      </c>
      <c r="AB26">
        <f>AVERAGE(W7:W26)</f>
        <v/>
      </c>
      <c r="AC26">
        <f>AVERAGE(X7:X26)</f>
        <v/>
      </c>
      <c r="AD26">
        <f>0.5*Y26+0.5*AA26</f>
        <v/>
      </c>
      <c r="AE26">
        <f>Settings!$B$3+Settings!$B$4*Z26</f>
        <v/>
      </c>
      <c r="AF26">
        <f>AC26</f>
        <v/>
      </c>
      <c r="AG26">
        <f>0.5*Y26+0.5*AC26</f>
        <v/>
      </c>
      <c r="AH26">
        <f>(AA26+AB26+Y26)/3</f>
        <v/>
      </c>
      <c r="AI26">
        <f>0.7*AA26+0.3*Y26</f>
        <v/>
      </c>
    </row>
    <row r="27">
      <c r="A27" t="inlineStr">
        <is>
          <t>1991-04-01</t>
        </is>
      </c>
      <c r="B27" t="n">
        <v>457875.8871483677</v>
      </c>
      <c r="C27" t="n">
        <v>253500.26530643</v>
      </c>
      <c r="D27" t="n">
        <v>64.88540566688484</v>
      </c>
      <c r="E27" t="n">
        <v>0.4093320470241358</v>
      </c>
      <c r="F27" t="n">
        <v>3.840581385888462</v>
      </c>
      <c r="G27" t="n">
        <v>4.059333941925907</v>
      </c>
      <c r="H27" t="n">
        <v>5.677128833152745</v>
      </c>
      <c r="I27" t="n">
        <v>86.01894213017292</v>
      </c>
      <c r="J27" t="n">
        <v>1303.435343761321</v>
      </c>
      <c r="K27" t="n">
        <v>798.85526192585</v>
      </c>
      <c r="L27" t="n">
        <v>1.61705467675074</v>
      </c>
      <c r="M27" t="n">
        <v>6.535333871046532</v>
      </c>
      <c r="N27" t="n">
        <v>0.4093320470241358</v>
      </c>
      <c r="O27" t="n">
        <v>0.4093320470241358</v>
      </c>
      <c r="P27" t="n">
        <v>0.4788866145619024</v>
      </c>
      <c r="Q27" t="n">
        <v>0.962072828752279</v>
      </c>
      <c r="R27" t="n">
        <v>3.361694771326559</v>
      </c>
      <c r="S27" t="n">
        <v>5.198242218590842</v>
      </c>
      <c r="T27" t="n">
        <v>4.715056004400465</v>
      </c>
      <c r="U27" t="n">
        <v>3.580447327364004</v>
      </c>
      <c r="V27">
        <f>T27-R27</f>
        <v/>
      </c>
      <c r="W27">
        <f>T27-Settings!$B$5</f>
        <v/>
      </c>
      <c r="X27">
        <f>0.5*(R27+W27)</f>
        <v/>
      </c>
      <c r="Y27">
        <f>AVERAGE(L8:L27)</f>
        <v/>
      </c>
      <c r="Z27">
        <f>AVERAGE(M8:M27)</f>
        <v/>
      </c>
      <c r="AA27">
        <f>AVERAGE(R8:R27)</f>
        <v/>
      </c>
      <c r="AB27">
        <f>AVERAGE(W8:W27)</f>
        <v/>
      </c>
      <c r="AC27">
        <f>AVERAGE(X8:X27)</f>
        <v/>
      </c>
      <c r="AD27">
        <f>0.5*Y27+0.5*AA27</f>
        <v/>
      </c>
      <c r="AE27">
        <f>Settings!$B$3+Settings!$B$4*Z27</f>
        <v/>
      </c>
      <c r="AF27">
        <f>AC27</f>
        <v/>
      </c>
      <c r="AG27">
        <f>0.5*Y27+0.5*AC27</f>
        <v/>
      </c>
      <c r="AH27">
        <f>(AA27+AB27+Y27)/3</f>
        <v/>
      </c>
      <c r="AI27">
        <f>0.7*AA27+0.3*Y27</f>
        <v/>
      </c>
    </row>
    <row r="28">
      <c r="A28" t="inlineStr">
        <is>
          <t>1991-07-01</t>
        </is>
      </c>
      <c r="B28" t="n">
        <v>461011.2611474414</v>
      </c>
      <c r="C28" t="n">
        <v>255310.4185537218</v>
      </c>
      <c r="D28" t="n">
        <v>64.98614399908703</v>
      </c>
      <c r="E28" t="n">
        <v>0.4618406677707644</v>
      </c>
      <c r="F28" t="n">
        <v>3.794890770420528</v>
      </c>
      <c r="G28" t="n">
        <v>4.032442520677484</v>
      </c>
      <c r="H28" t="n">
        <v>5.912776138357281</v>
      </c>
      <c r="I28" t="n">
        <v>85.93825934565443</v>
      </c>
      <c r="J28" t="n">
        <v>1304.117774933215</v>
      </c>
      <c r="K28" t="n">
        <v>799.6606287615651</v>
      </c>
      <c r="L28" t="n">
        <v>2.729724687575981</v>
      </c>
      <c r="M28" t="n">
        <v>3.221467342860706</v>
      </c>
      <c r="N28" t="n">
        <v>0.4618406677707644</v>
      </c>
      <c r="O28" t="n">
        <v>0.4618406677707644</v>
      </c>
      <c r="P28" t="n">
        <v>0.4283414518028388</v>
      </c>
      <c r="Q28" t="n">
        <v>0.9140736067329867</v>
      </c>
      <c r="R28" t="n">
        <v>3.366549318617689</v>
      </c>
      <c r="S28" t="n">
        <v>5.484434686554442</v>
      </c>
      <c r="T28" t="n">
        <v>4.998702531624295</v>
      </c>
      <c r="U28" t="n">
        <v>3.604101068874645</v>
      </c>
      <c r="V28">
        <f>T28-R28</f>
        <v/>
      </c>
      <c r="W28">
        <f>T28-Settings!$B$5</f>
        <v/>
      </c>
      <c r="X28">
        <f>0.5*(R28+W28)</f>
        <v/>
      </c>
      <c r="Y28">
        <f>AVERAGE(L9:L28)</f>
        <v/>
      </c>
      <c r="Z28">
        <f>AVERAGE(M9:M28)</f>
        <v/>
      </c>
      <c r="AA28">
        <f>AVERAGE(R9:R28)</f>
        <v/>
      </c>
      <c r="AB28">
        <f>AVERAGE(W9:W28)</f>
        <v/>
      </c>
      <c r="AC28">
        <f>AVERAGE(X9:X28)</f>
        <v/>
      </c>
      <c r="AD28">
        <f>0.5*Y28+0.5*AA28</f>
        <v/>
      </c>
      <c r="AE28">
        <f>Settings!$B$3+Settings!$B$4*Z28</f>
        <v/>
      </c>
      <c r="AF28">
        <f>AC28</f>
        <v/>
      </c>
      <c r="AG28">
        <f>0.5*Y28+0.5*AC28</f>
        <v/>
      </c>
      <c r="AH28">
        <f>(AA28+AB28+Y28)/3</f>
        <v/>
      </c>
      <c r="AI28">
        <f>0.7*AA28+0.3*Y28</f>
        <v/>
      </c>
    </row>
    <row r="29">
      <c r="A29" t="inlineStr">
        <is>
          <t>1991-10-01</t>
        </is>
      </c>
      <c r="B29" t="n">
        <v>464057.5780599978</v>
      </c>
      <c r="C29" t="n">
        <v>255048.4577674322</v>
      </c>
      <c r="D29" t="n">
        <v>65.04626178042535</v>
      </c>
      <c r="E29" t="n">
        <v>0.4158127203427967</v>
      </c>
      <c r="F29" t="n">
        <v>3.7064468473812</v>
      </c>
      <c r="G29" t="n">
        <v>3.890807159822081</v>
      </c>
      <c r="H29" t="n">
        <v>5.591575404865679</v>
      </c>
      <c r="I29" t="n">
        <v>86.07211523955931</v>
      </c>
      <c r="J29" t="n">
        <v>1304.776391415633</v>
      </c>
      <c r="K29" t="n">
        <v>799.4023342382911</v>
      </c>
      <c r="L29" t="n">
        <v>2.634465929672842</v>
      </c>
      <c r="M29" t="n">
        <v>-1.033178093096012</v>
      </c>
      <c r="N29" t="n">
        <v>0.4158127203427967</v>
      </c>
      <c r="O29" t="n">
        <v>0.4158127203427967</v>
      </c>
      <c r="P29" t="n">
        <v>0.4364953460045951</v>
      </c>
      <c r="Q29" t="n">
        <v>0.8707258396933415</v>
      </c>
      <c r="R29" t="n">
        <v>3.269951501376605</v>
      </c>
      <c r="S29" t="n">
        <v>5.155080058861085</v>
      </c>
      <c r="T29" t="n">
        <v>4.720849565172338</v>
      </c>
      <c r="U29" t="n">
        <v>3.454311813817486</v>
      </c>
      <c r="V29">
        <f>T29-R29</f>
        <v/>
      </c>
      <c r="W29">
        <f>T29-Settings!$B$5</f>
        <v/>
      </c>
      <c r="X29">
        <f>0.5*(R29+W29)</f>
        <v/>
      </c>
      <c r="Y29">
        <f>AVERAGE(L10:L29)</f>
        <v/>
      </c>
      <c r="Z29">
        <f>AVERAGE(M10:M29)</f>
        <v/>
      </c>
      <c r="AA29">
        <f>AVERAGE(R10:R29)</f>
        <v/>
      </c>
      <c r="AB29">
        <f>AVERAGE(W10:W29)</f>
        <v/>
      </c>
      <c r="AC29">
        <f>AVERAGE(X10:X29)</f>
        <v/>
      </c>
      <c r="AD29">
        <f>0.5*Y29+0.5*AA29</f>
        <v/>
      </c>
      <c r="AE29">
        <f>Settings!$B$3+Settings!$B$4*Z29</f>
        <v/>
      </c>
      <c r="AF29">
        <f>AC29</f>
        <v/>
      </c>
      <c r="AG29">
        <f>0.5*Y29+0.5*AC29</f>
        <v/>
      </c>
      <c r="AH29">
        <f>(AA29+AB29+Y29)/3</f>
        <v/>
      </c>
      <c r="AI29">
        <f>0.7*AA29+0.3*Y29</f>
        <v/>
      </c>
    </row>
    <row r="30">
      <c r="A30" t="inlineStr">
        <is>
          <t>1992-01-01</t>
        </is>
      </c>
      <c r="B30" t="n">
        <v>467369.3702087536</v>
      </c>
      <c r="C30" t="n">
        <v>256659.4573734144</v>
      </c>
      <c r="D30" t="n">
        <v>65.1065095375354</v>
      </c>
      <c r="E30" t="n">
        <v>0.4762135619093334</v>
      </c>
      <c r="F30" t="n">
        <v>3.451492524017429</v>
      </c>
      <c r="G30" t="n">
        <v>3.638430299829111</v>
      </c>
      <c r="H30" t="n">
        <v>5.180766071022282</v>
      </c>
      <c r="I30" t="n">
        <v>85.97496276281215</v>
      </c>
      <c r="J30" t="n">
        <v>1305.487516665191</v>
      </c>
      <c r="K30" t="n">
        <v>800.1449293409975</v>
      </c>
      <c r="L30" t="n">
        <v>2.844500998232434</v>
      </c>
      <c r="M30" t="n">
        <v>2.970380410825328</v>
      </c>
      <c r="N30" t="n">
        <v>0.4762135619093334</v>
      </c>
      <c r="O30" t="n">
        <v>0.4762135619093334</v>
      </c>
      <c r="P30" t="n">
        <v>0.4407997492617576</v>
      </c>
      <c r="Q30" t="n">
        <v>0.8302939016650901</v>
      </c>
      <c r="R30" t="n">
        <v>3.010692774755671</v>
      </c>
      <c r="S30" t="n">
        <v>4.739966321760525</v>
      </c>
      <c r="T30" t="n">
        <v>4.350472169357192</v>
      </c>
      <c r="U30" t="n">
        <v>3.197630550567353</v>
      </c>
      <c r="V30">
        <f>T30-R30</f>
        <v/>
      </c>
      <c r="W30">
        <f>T30-Settings!$B$5</f>
        <v/>
      </c>
      <c r="X30">
        <f>0.5*(R30+W30)</f>
        <v/>
      </c>
      <c r="Y30">
        <f>AVERAGE(L11:L30)</f>
        <v/>
      </c>
      <c r="Z30">
        <f>AVERAGE(M11:M30)</f>
        <v/>
      </c>
      <c r="AA30">
        <f>AVERAGE(R11:R30)</f>
        <v/>
      </c>
      <c r="AB30">
        <f>AVERAGE(W11:W30)</f>
        <v/>
      </c>
      <c r="AC30">
        <f>AVERAGE(X11:X30)</f>
        <v/>
      </c>
      <c r="AD30">
        <f>0.5*Y30+0.5*AA30</f>
        <v/>
      </c>
      <c r="AE30">
        <f>Settings!$B$3+Settings!$B$4*Z30</f>
        <v/>
      </c>
      <c r="AF30">
        <f>AC30</f>
        <v/>
      </c>
      <c r="AG30">
        <f>0.5*Y30+0.5*AC30</f>
        <v/>
      </c>
      <c r="AH30">
        <f>(AA30+AB30+Y30)/3</f>
        <v/>
      </c>
      <c r="AI30">
        <f>0.7*AA30+0.3*Y30</f>
        <v/>
      </c>
    </row>
    <row r="31">
      <c r="A31" t="inlineStr">
        <is>
          <t>1992-04-01</t>
        </is>
      </c>
      <c r="B31" t="n">
        <v>470959.2010157397</v>
      </c>
      <c r="C31" t="n">
        <v>260546.212483928</v>
      </c>
      <c r="D31" t="n">
        <v>65.16856980770073</v>
      </c>
      <c r="E31" t="n">
        <v>0.4354570281079971</v>
      </c>
      <c r="F31" t="n">
        <v>3.330615217214272</v>
      </c>
      <c r="G31" t="n">
        <v>3.516242122086913</v>
      </c>
      <c r="H31" t="n">
        <v>5.227515004241858</v>
      </c>
      <c r="I31" t="n">
        <v>85.91724523284074</v>
      </c>
      <c r="J31" t="n">
        <v>1306.252674719939</v>
      </c>
      <c r="K31" t="n">
        <v>801.7150955367565</v>
      </c>
      <c r="L31" t="n">
        <v>3.060632218989667</v>
      </c>
      <c r="M31" t="n">
        <v>6.280664783036173</v>
      </c>
      <c r="N31" t="n">
        <v>0.4354570281079971</v>
      </c>
      <c r="O31" t="n">
        <v>0.4354570281079971</v>
      </c>
      <c r="P31" t="n">
        <v>0.4473309945327229</v>
      </c>
      <c r="Q31" t="n">
        <v>0.7828526613043032</v>
      </c>
      <c r="R31" t="n">
        <v>2.883284222681549</v>
      </c>
      <c r="S31" t="n">
        <v>4.780184009709135</v>
      </c>
      <c r="T31" t="n">
        <v>4.444662342937555</v>
      </c>
      <c r="U31" t="n">
        <v>3.06891112755419</v>
      </c>
      <c r="V31">
        <f>T31-R31</f>
        <v/>
      </c>
      <c r="W31">
        <f>T31-Settings!$B$5</f>
        <v/>
      </c>
      <c r="X31">
        <f>0.5*(R31+W31)</f>
        <v/>
      </c>
      <c r="Y31">
        <f>AVERAGE(L12:L31)</f>
        <v/>
      </c>
      <c r="Z31">
        <f>AVERAGE(M12:M31)</f>
        <v/>
      </c>
      <c r="AA31">
        <f>AVERAGE(R12:R31)</f>
        <v/>
      </c>
      <c r="AB31">
        <f>AVERAGE(W12:W31)</f>
        <v/>
      </c>
      <c r="AC31">
        <f>AVERAGE(X12:X31)</f>
        <v/>
      </c>
      <c r="AD31">
        <f>0.5*Y31+0.5*AA31</f>
        <v/>
      </c>
      <c r="AE31">
        <f>Settings!$B$3+Settings!$B$4*Z31</f>
        <v/>
      </c>
      <c r="AF31">
        <f>AC31</f>
        <v/>
      </c>
      <c r="AG31">
        <f>0.5*Y31+0.5*AC31</f>
        <v/>
      </c>
      <c r="AH31">
        <f>(AA31+AB31+Y31)/3</f>
        <v/>
      </c>
      <c r="AI31">
        <f>0.7*AA31+0.3*Y31</f>
        <v/>
      </c>
    </row>
    <row r="32">
      <c r="A32" t="inlineStr">
        <is>
          <t>1992-07-01</t>
        </is>
      </c>
      <c r="B32" t="n">
        <v>477289.1938905646</v>
      </c>
      <c r="C32" t="n">
        <v>261349.1885185012</v>
      </c>
      <c r="D32" t="n">
        <v>65.1752493452321</v>
      </c>
      <c r="E32" t="n">
        <v>0.2905707665533656</v>
      </c>
      <c r="F32" t="n">
        <v>3.316789216816012</v>
      </c>
      <c r="G32" t="n">
        <v>3.540513268451382</v>
      </c>
      <c r="H32" t="n">
        <v>5.080605963107578</v>
      </c>
      <c r="I32" t="n">
        <v>85.94774781452068</v>
      </c>
      <c r="J32" t="n">
        <v>1307.587786265927</v>
      </c>
      <c r="K32" t="n">
        <v>801.9873151127734</v>
      </c>
      <c r="L32" t="n">
        <v>5.340446183950917</v>
      </c>
      <c r="M32" t="n">
        <v>1.088878304067748</v>
      </c>
      <c r="N32" t="n">
        <v>0.2905707665533656</v>
      </c>
      <c r="O32" t="n">
        <v>0.2905707665533656</v>
      </c>
      <c r="P32" t="n">
        <v>0.4045135192283732</v>
      </c>
      <c r="Q32" t="n">
        <v>0.7239576205786706</v>
      </c>
      <c r="R32" t="n">
        <v>2.912275697587638</v>
      </c>
      <c r="S32" t="n">
        <v>4.676092443879205</v>
      </c>
      <c r="T32" t="n">
        <v>4.356648342528907</v>
      </c>
      <c r="U32" t="n">
        <v>3.135999749223009</v>
      </c>
      <c r="V32">
        <f>T32-R32</f>
        <v/>
      </c>
      <c r="W32">
        <f>T32-Settings!$B$5</f>
        <v/>
      </c>
      <c r="X32">
        <f>0.5*(R32+W32)</f>
        <v/>
      </c>
      <c r="Y32">
        <f>AVERAGE(L13:L32)</f>
        <v/>
      </c>
      <c r="Z32">
        <f>AVERAGE(M13:M32)</f>
        <v/>
      </c>
      <c r="AA32">
        <f>AVERAGE(R13:R32)</f>
        <v/>
      </c>
      <c r="AB32">
        <f>AVERAGE(W13:W32)</f>
        <v/>
      </c>
      <c r="AC32">
        <f>AVERAGE(X13:X32)</f>
        <v/>
      </c>
      <c r="AD32">
        <f>0.5*Y32+0.5*AA32</f>
        <v/>
      </c>
      <c r="AE32">
        <f>Settings!$B$3+Settings!$B$4*Z32</f>
        <v/>
      </c>
      <c r="AF32">
        <f>AC32</f>
        <v/>
      </c>
      <c r="AG32">
        <f>0.5*Y32+0.5*AC32</f>
        <v/>
      </c>
      <c r="AH32">
        <f>(AA32+AB32+Y32)/3</f>
        <v/>
      </c>
      <c r="AI32">
        <f>0.7*AA32+0.3*Y32</f>
        <v/>
      </c>
    </row>
    <row r="33">
      <c r="A33" t="inlineStr">
        <is>
          <t>1992-10-01</t>
        </is>
      </c>
      <c r="B33" t="n">
        <v>480320.0407887335</v>
      </c>
      <c r="C33" t="n">
        <v>263232.2505774004</v>
      </c>
      <c r="D33" t="n">
        <v>65.21693269212757</v>
      </c>
      <c r="E33" t="n">
        <v>0.2620402640250515</v>
      </c>
      <c r="F33" t="n">
        <v>3.115432800665247</v>
      </c>
      <c r="G33" t="n">
        <v>3.360384033874149</v>
      </c>
      <c r="H33" t="n">
        <v>4.866457782375126</v>
      </c>
      <c r="I33" t="n">
        <v>85.94894774196608</v>
      </c>
      <c r="J33" t="n">
        <v>1308.220791234715</v>
      </c>
      <c r="K33" t="n">
        <v>802.7038514438156</v>
      </c>
      <c r="L33" t="n">
        <v>2.5320198751524</v>
      </c>
      <c r="M33" t="n">
        <v>2.866145324168428</v>
      </c>
      <c r="N33" t="n">
        <v>0.2620402640250515</v>
      </c>
      <c r="O33" t="n">
        <v>0.2620402640250515</v>
      </c>
      <c r="P33" t="n">
        <v>0.3660704051489369</v>
      </c>
      <c r="Q33" t="n">
        <v>0.6567910986456014</v>
      </c>
      <c r="R33" t="n">
        <v>2.74936239551631</v>
      </c>
      <c r="S33" t="n">
        <v>4.500387377226189</v>
      </c>
      <c r="T33" t="n">
        <v>4.209666683729525</v>
      </c>
      <c r="U33" t="n">
        <v>2.994313628725212</v>
      </c>
      <c r="V33">
        <f>T33-R33</f>
        <v/>
      </c>
      <c r="W33">
        <f>T33-Settings!$B$5</f>
        <v/>
      </c>
      <c r="X33">
        <f>0.5*(R33+W33)</f>
        <v/>
      </c>
      <c r="Y33">
        <f>AVERAGE(L14:L33)</f>
        <v/>
      </c>
      <c r="Z33">
        <f>AVERAGE(M14:M33)</f>
        <v/>
      </c>
      <c r="AA33">
        <f>AVERAGE(R14:R33)</f>
        <v/>
      </c>
      <c r="AB33">
        <f>AVERAGE(W14:W33)</f>
        <v/>
      </c>
      <c r="AC33">
        <f>AVERAGE(X14:X33)</f>
        <v/>
      </c>
      <c r="AD33">
        <f>0.5*Y33+0.5*AA33</f>
        <v/>
      </c>
      <c r="AE33">
        <f>Settings!$B$3+Settings!$B$4*Z33</f>
        <v/>
      </c>
      <c r="AF33">
        <f>AC33</f>
        <v/>
      </c>
      <c r="AG33">
        <f>0.5*Y33+0.5*AC33</f>
        <v/>
      </c>
      <c r="AH33">
        <f>(AA33+AB33+Y33)/3</f>
        <v/>
      </c>
      <c r="AI33">
        <f>0.7*AA33+0.3*Y33</f>
        <v/>
      </c>
    </row>
    <row r="34">
      <c r="A34" t="inlineStr">
        <is>
          <t>1993-01-01</t>
        </is>
      </c>
      <c r="B34" t="n">
        <v>483531.9263503676</v>
      </c>
      <c r="C34" t="n">
        <v>266627.792669779</v>
      </c>
      <c r="D34" t="n">
        <v>65.2583982793825</v>
      </c>
      <c r="E34" t="n">
        <v>0.2330210071387224</v>
      </c>
      <c r="F34" t="n">
        <v>3.070191069603328</v>
      </c>
      <c r="G34" t="n">
        <v>3.256425854808849</v>
      </c>
      <c r="H34" t="n">
        <v>4.961051205592539</v>
      </c>
      <c r="I34" t="n">
        <v>86.00260866593288</v>
      </c>
      <c r="J34" t="n">
        <v>1308.887262344392</v>
      </c>
      <c r="K34" t="n">
        <v>803.9231300748792</v>
      </c>
      <c r="L34" t="n">
        <v>2.665884438709327</v>
      </c>
      <c r="M34" t="n">
        <v>4.877114524254466</v>
      </c>
      <c r="N34" t="n">
        <v>0.2330210071387224</v>
      </c>
      <c r="O34" t="n">
        <v>0.2330210071387224</v>
      </c>
      <c r="P34" t="n">
        <v>0.3052722664562841</v>
      </c>
      <c r="Q34" t="n">
        <v>0.5942491734852215</v>
      </c>
      <c r="R34" t="n">
        <v>2.764918803147044</v>
      </c>
      <c r="S34" t="n">
        <v>4.655778939136255</v>
      </c>
      <c r="T34" t="n">
        <v>4.366802032107318</v>
      </c>
      <c r="U34" t="n">
        <v>2.951153588352565</v>
      </c>
      <c r="V34">
        <f>T34-R34</f>
        <v/>
      </c>
      <c r="W34">
        <f>T34-Settings!$B$5</f>
        <v/>
      </c>
      <c r="X34">
        <f>0.5*(R34+W34)</f>
        <v/>
      </c>
      <c r="Y34">
        <f>AVERAGE(L15:L34)</f>
        <v/>
      </c>
      <c r="Z34">
        <f>AVERAGE(M15:M34)</f>
        <v/>
      </c>
      <c r="AA34">
        <f>AVERAGE(R15:R34)</f>
        <v/>
      </c>
      <c r="AB34">
        <f>AVERAGE(W15:W34)</f>
        <v/>
      </c>
      <c r="AC34">
        <f>AVERAGE(X15:X34)</f>
        <v/>
      </c>
      <c r="AD34">
        <f>0.5*Y34+0.5*AA34</f>
        <v/>
      </c>
      <c r="AE34">
        <f>Settings!$B$3+Settings!$B$4*Z34</f>
        <v/>
      </c>
      <c r="AF34">
        <f>AC34</f>
        <v/>
      </c>
      <c r="AG34">
        <f>0.5*Y34+0.5*AC34</f>
        <v/>
      </c>
      <c r="AH34">
        <f>(AA34+AB34+Y34)/3</f>
        <v/>
      </c>
      <c r="AI34">
        <f>0.7*AA34+0.3*Y34</f>
        <v/>
      </c>
    </row>
    <row r="35">
      <c r="A35" t="inlineStr">
        <is>
          <t>1993-04-01</t>
        </is>
      </c>
      <c r="B35" t="n">
        <v>486642.8603615615</v>
      </c>
      <c r="C35" t="n">
        <v>267231.4365565213</v>
      </c>
      <c r="D35" t="n">
        <v>65.32614196771431</v>
      </c>
      <c r="E35" t="n">
        <v>0.2414998040191051</v>
      </c>
      <c r="F35" t="n">
        <v>2.852873214405391</v>
      </c>
      <c r="G35" t="n">
        <v>3.040130002571598</v>
      </c>
      <c r="H35" t="n">
        <v>4.655981773182506</v>
      </c>
      <c r="I35" t="n">
        <v>85.98630747472269</v>
      </c>
      <c r="J35" t="n">
        <v>1309.528578675465</v>
      </c>
      <c r="K35" t="n">
        <v>804.1682297340399</v>
      </c>
      <c r="L35" t="n">
        <v>2.565265324290522</v>
      </c>
      <c r="M35" t="n">
        <v>0.9803986366428035</v>
      </c>
      <c r="N35" t="n">
        <v>0.2414998040191051</v>
      </c>
      <c r="O35" t="n">
        <v>0.2414998040191051</v>
      </c>
      <c r="P35" t="n">
        <v>0.2567829604340612</v>
      </c>
      <c r="Q35" t="n">
        <v>0.5321598484533144</v>
      </c>
      <c r="R35" t="n">
        <v>2.59609025397133</v>
      </c>
      <c r="S35" t="n">
        <v>4.399198812748445</v>
      </c>
      <c r="T35" t="n">
        <v>4.123821924729191</v>
      </c>
      <c r="U35" t="n">
        <v>2.783347042137537</v>
      </c>
      <c r="V35">
        <f>T35-R35</f>
        <v/>
      </c>
      <c r="W35">
        <f>T35-Settings!$B$5</f>
        <v/>
      </c>
      <c r="X35">
        <f>0.5*(R35+W35)</f>
        <v/>
      </c>
      <c r="Y35">
        <f>AVERAGE(L16:L35)</f>
        <v/>
      </c>
      <c r="Z35">
        <f>AVERAGE(M16:M35)</f>
        <v/>
      </c>
      <c r="AA35">
        <f>AVERAGE(R16:R35)</f>
        <v/>
      </c>
      <c r="AB35">
        <f>AVERAGE(W16:W35)</f>
        <v/>
      </c>
      <c r="AC35">
        <f>AVERAGE(X16:X35)</f>
        <v/>
      </c>
      <c r="AD35">
        <f>0.5*Y35+0.5*AA35</f>
        <v/>
      </c>
      <c r="AE35">
        <f>Settings!$B$3+Settings!$B$4*Z35</f>
        <v/>
      </c>
      <c r="AF35">
        <f>AC35</f>
        <v/>
      </c>
      <c r="AG35">
        <f>0.5*Y35+0.5*AC35</f>
        <v/>
      </c>
      <c r="AH35">
        <f>(AA35+AB35+Y35)/3</f>
        <v/>
      </c>
      <c r="AI35">
        <f>0.7*AA35+0.3*Y35</f>
        <v/>
      </c>
    </row>
    <row r="36">
      <c r="A36" t="inlineStr">
        <is>
          <t>1993-07-01</t>
        </is>
      </c>
      <c r="B36" t="n">
        <v>492187.0084382741</v>
      </c>
      <c r="C36" t="n">
        <v>270697.3086820935</v>
      </c>
      <c r="D36" t="n">
        <v>65.42419608545632</v>
      </c>
      <c r="E36" t="n">
        <v>0.3812375173928308</v>
      </c>
      <c r="F36" t="n">
        <v>2.822752278813536</v>
      </c>
      <c r="G36" t="n">
        <v>3.03217459552963</v>
      </c>
      <c r="H36" t="n">
        <v>4.650609870264717</v>
      </c>
      <c r="I36" t="n">
        <v>85.98315840161797</v>
      </c>
      <c r="J36" t="n">
        <v>1310.661402170711</v>
      </c>
      <c r="K36" t="n">
        <v>805.4605088948118</v>
      </c>
      <c r="L36" t="n">
        <v>4.531293980983719</v>
      </c>
      <c r="M36" t="n">
        <v>5.169116643087818</v>
      </c>
      <c r="N36" t="n">
        <v>0.3812375173928308</v>
      </c>
      <c r="O36" t="n">
        <v>0.3812375173928308</v>
      </c>
      <c r="P36" t="n">
        <v>0.2794496481439275</v>
      </c>
      <c r="Q36" t="n">
        <v>0.4811197033258716</v>
      </c>
      <c r="R36" t="n">
        <v>2.543302630669609</v>
      </c>
      <c r="S36" t="n">
        <v>4.371160222120789</v>
      </c>
      <c r="T36" t="n">
        <v>4.169490166938845</v>
      </c>
      <c r="U36" t="n">
        <v>2.752724947385703</v>
      </c>
      <c r="V36">
        <f>T36-R36</f>
        <v/>
      </c>
      <c r="W36">
        <f>T36-Settings!$B$5</f>
        <v/>
      </c>
      <c r="X36">
        <f>0.5*(R36+W36)</f>
        <v/>
      </c>
      <c r="Y36">
        <f>AVERAGE(L17:L36)</f>
        <v/>
      </c>
      <c r="Z36">
        <f>AVERAGE(M17:M36)</f>
        <v/>
      </c>
      <c r="AA36">
        <f>AVERAGE(R17:R36)</f>
        <v/>
      </c>
      <c r="AB36">
        <f>AVERAGE(W17:W36)</f>
        <v/>
      </c>
      <c r="AC36">
        <f>AVERAGE(X17:X36)</f>
        <v/>
      </c>
      <c r="AD36">
        <f>0.5*Y36+0.5*AA36</f>
        <v/>
      </c>
      <c r="AE36">
        <f>Settings!$B$3+Settings!$B$4*Z36</f>
        <v/>
      </c>
      <c r="AF36">
        <f>AC36</f>
        <v/>
      </c>
      <c r="AG36">
        <f>0.5*Y36+0.5*AC36</f>
        <v/>
      </c>
      <c r="AH36">
        <f>(AA36+AB36+Y36)/3</f>
        <v/>
      </c>
      <c r="AI36">
        <f>0.7*AA36+0.3*Y36</f>
        <v/>
      </c>
    </row>
    <row r="37">
      <c r="A37" t="inlineStr">
        <is>
          <t>1993-10-01</t>
        </is>
      </c>
      <c r="B37" t="n">
        <v>498846.0346318698</v>
      </c>
      <c r="C37" t="n">
        <v>274186.0054169954</v>
      </c>
      <c r="D37" t="n">
        <v>65.42132389142532</v>
      </c>
      <c r="E37" t="n">
        <v>0.3129119622624766</v>
      </c>
      <c r="F37" t="n">
        <v>2.631574290840272</v>
      </c>
      <c r="G37" t="n">
        <v>2.824201445839885</v>
      </c>
      <c r="H37" t="n">
        <v>4.432972813026802</v>
      </c>
      <c r="I37" t="n">
        <v>86.03098509827413</v>
      </c>
      <c r="J37" t="n">
        <v>1312.005277929106</v>
      </c>
      <c r="K37" t="n">
        <v>806.6854483736952</v>
      </c>
      <c r="L37" t="n">
        <v>5.375503033580571</v>
      </c>
      <c r="M37" t="n">
        <v>4.899757915533428</v>
      </c>
      <c r="N37" t="n">
        <v>0.3129119622624766</v>
      </c>
      <c r="O37" t="n">
        <v>0.3129119622624766</v>
      </c>
      <c r="P37" t="n">
        <v>0.2921675727032838</v>
      </c>
      <c r="Q37" t="n">
        <v>0.427394047392605</v>
      </c>
      <c r="R37" t="n">
        <v>2.339406718136988</v>
      </c>
      <c r="S37" t="n">
        <v>4.140805240323518</v>
      </c>
      <c r="T37" t="n">
        <v>4.005578765634197</v>
      </c>
      <c r="U37" t="n">
        <v>2.532033873136601</v>
      </c>
      <c r="V37">
        <f>T37-R37</f>
        <v/>
      </c>
      <c r="W37">
        <f>T37-Settings!$B$5</f>
        <v/>
      </c>
      <c r="X37">
        <f>0.5*(R37+W37)</f>
        <v/>
      </c>
      <c r="Y37">
        <f>AVERAGE(L18:L37)</f>
        <v/>
      </c>
      <c r="Z37">
        <f>AVERAGE(M18:M37)</f>
        <v/>
      </c>
      <c r="AA37">
        <f>AVERAGE(R18:R37)</f>
        <v/>
      </c>
      <c r="AB37">
        <f>AVERAGE(W18:W37)</f>
        <v/>
      </c>
      <c r="AC37">
        <f>AVERAGE(X18:X37)</f>
        <v/>
      </c>
      <c r="AD37">
        <f>0.5*Y37+0.5*AA37</f>
        <v/>
      </c>
      <c r="AE37">
        <f>Settings!$B$3+Settings!$B$4*Z37</f>
        <v/>
      </c>
      <c r="AF37">
        <f>AC37</f>
        <v/>
      </c>
      <c r="AG37">
        <f>0.5*Y37+0.5*AC37</f>
        <v/>
      </c>
      <c r="AH37">
        <f>(AA37+AB37+Y37)/3</f>
        <v/>
      </c>
      <c r="AI37">
        <f>0.7*AA37+0.3*Y37</f>
        <v/>
      </c>
    </row>
    <row r="38">
      <c r="A38" t="inlineStr">
        <is>
          <t>1994-01-01</t>
        </is>
      </c>
      <c r="B38" t="n">
        <v>503961.4851479254</v>
      </c>
      <c r="C38" t="n">
        <v>277553.3436920384</v>
      </c>
      <c r="D38" t="n">
        <v>65.46427028224528</v>
      </c>
      <c r="E38" t="n">
        <v>0.3149754749224352</v>
      </c>
      <c r="F38" t="n">
        <v>2.512911441166134</v>
      </c>
      <c r="G38" t="n">
        <v>2.741473050760332</v>
      </c>
      <c r="H38" t="n">
        <v>4.346569753826678</v>
      </c>
      <c r="I38" t="n">
        <v>86.01699376805963</v>
      </c>
      <c r="J38" t="n">
        <v>1313.025512577618</v>
      </c>
      <c r="K38" t="n">
        <v>807.9223544528764</v>
      </c>
      <c r="L38" t="n">
        <v>4.080938594051077</v>
      </c>
      <c r="M38" t="n">
        <v>4.947624316725069</v>
      </c>
      <c r="N38" t="n">
        <v>0.3149754749224352</v>
      </c>
      <c r="O38" t="n">
        <v>0.3149754749224352</v>
      </c>
      <c r="P38" t="n">
        <v>0.3126561896492119</v>
      </c>
      <c r="Q38" t="n">
        <v>0.3591184451289015</v>
      </c>
      <c r="R38" t="n">
        <v>2.200255251516922</v>
      </c>
      <c r="S38" t="n">
        <v>4.033913564177466</v>
      </c>
      <c r="T38" t="n">
        <v>3.987451308697777</v>
      </c>
      <c r="U38" t="n">
        <v>2.42881686111112</v>
      </c>
      <c r="V38">
        <f>T38-R38</f>
        <v/>
      </c>
      <c r="W38">
        <f>T38-Settings!$B$5</f>
        <v/>
      </c>
      <c r="X38">
        <f>0.5*(R38+W38)</f>
        <v/>
      </c>
      <c r="Y38">
        <f>AVERAGE(L19:L38)</f>
        <v/>
      </c>
      <c r="Z38">
        <f>AVERAGE(M19:M38)</f>
        <v/>
      </c>
      <c r="AA38">
        <f>AVERAGE(R19:R38)</f>
        <v/>
      </c>
      <c r="AB38">
        <f>AVERAGE(W19:W38)</f>
        <v/>
      </c>
      <c r="AC38">
        <f>AVERAGE(X19:X38)</f>
        <v/>
      </c>
      <c r="AD38">
        <f>0.5*Y38+0.5*AA38</f>
        <v/>
      </c>
      <c r="AE38">
        <f>Settings!$B$3+Settings!$B$4*Z38</f>
        <v/>
      </c>
      <c r="AF38">
        <f>AC38</f>
        <v/>
      </c>
      <c r="AG38">
        <f>0.5*Y38+0.5*AC38</f>
        <v/>
      </c>
      <c r="AH38">
        <f>(AA38+AB38+Y38)/3</f>
        <v/>
      </c>
      <c r="AI38">
        <f>0.7*AA38+0.3*Y38</f>
        <v/>
      </c>
    </row>
    <row r="39">
      <c r="A39" t="inlineStr">
        <is>
          <t>1994-04-01</t>
        </is>
      </c>
      <c r="B39" t="n">
        <v>508220.2266728553</v>
      </c>
      <c r="C39" t="n">
        <v>281099.2465087502</v>
      </c>
      <c r="D39" t="n">
        <v>65.58621873316778</v>
      </c>
      <c r="E39" t="n">
        <v>0.397330101170346</v>
      </c>
      <c r="F39" t="n">
        <v>2.453235901083495</v>
      </c>
      <c r="G39" t="n">
        <v>2.585682582364924</v>
      </c>
      <c r="H39" t="n">
        <v>4.29573249082711</v>
      </c>
      <c r="I39" t="n">
        <v>86.01580239353221</v>
      </c>
      <c r="J39" t="n">
        <v>1313.867014969179</v>
      </c>
      <c r="K39" t="n">
        <v>809.1932048245653</v>
      </c>
      <c r="L39" t="n">
        <v>3.36600956624352</v>
      </c>
      <c r="M39" t="n">
        <v>5.08340148675552</v>
      </c>
      <c r="N39" t="n">
        <v>0.397330101170346</v>
      </c>
      <c r="O39" t="n">
        <v>0.397330101170346</v>
      </c>
      <c r="P39" t="n">
        <v>0.3516137639370222</v>
      </c>
      <c r="Q39" t="n">
        <v>0.3638390929494748</v>
      </c>
      <c r="R39" t="n">
        <v>2.101622137146473</v>
      </c>
      <c r="S39" t="n">
        <v>3.944118726890088</v>
      </c>
      <c r="T39" t="n">
        <v>3.931893397877635</v>
      </c>
      <c r="U39" t="n">
        <v>2.234068818427902</v>
      </c>
      <c r="V39">
        <f>T39-R39</f>
        <v/>
      </c>
      <c r="W39">
        <f>T39-Settings!$B$5</f>
        <v/>
      </c>
      <c r="X39">
        <f>0.5*(R39+W39)</f>
        <v/>
      </c>
      <c r="Y39">
        <f>AVERAGE(L20:L39)</f>
        <v/>
      </c>
      <c r="Z39">
        <f>AVERAGE(M20:M39)</f>
        <v/>
      </c>
      <c r="AA39">
        <f>AVERAGE(R20:R39)</f>
        <v/>
      </c>
      <c r="AB39">
        <f>AVERAGE(W20:W39)</f>
        <v/>
      </c>
      <c r="AC39">
        <f>AVERAGE(X20:X39)</f>
        <v/>
      </c>
      <c r="AD39">
        <f>0.5*Y39+0.5*AA39</f>
        <v/>
      </c>
      <c r="AE39">
        <f>Settings!$B$3+Settings!$B$4*Z39</f>
        <v/>
      </c>
      <c r="AF39">
        <f>AC39</f>
        <v/>
      </c>
      <c r="AG39">
        <f>0.5*Y39+0.5*AC39</f>
        <v/>
      </c>
      <c r="AH39">
        <f>(AA39+AB39+Y39)/3</f>
        <v/>
      </c>
      <c r="AI39">
        <f>0.7*AA39+0.3*Y39</f>
        <v/>
      </c>
    </row>
    <row r="40">
      <c r="A40" t="inlineStr">
        <is>
          <t>1994-07-01</t>
        </is>
      </c>
      <c r="B40" t="n">
        <v>512678.6571404319</v>
      </c>
      <c r="C40" t="n">
        <v>282075.4500261496</v>
      </c>
      <c r="D40" t="n">
        <v>65.59883275490591</v>
      </c>
      <c r="E40" t="n">
        <v>0.2665741654911316</v>
      </c>
      <c r="F40" t="n">
        <v>2.231911476127792</v>
      </c>
      <c r="G40" t="n">
        <v>2.407110324720285</v>
      </c>
      <c r="H40" t="n">
        <v>3.83821478285725</v>
      </c>
      <c r="I40" t="n">
        <v>86.02049142286643</v>
      </c>
      <c r="J40" t="n">
        <v>1314.740452854649</v>
      </c>
      <c r="K40" t="n">
        <v>809.5344327188403</v>
      </c>
      <c r="L40" t="n">
        <v>3.493751541876918</v>
      </c>
      <c r="M40" t="n">
        <v>1.364911577099974</v>
      </c>
      <c r="N40" t="n">
        <v>0.2665741654911316</v>
      </c>
      <c r="O40" t="n">
        <v>0.2665741654911316</v>
      </c>
      <c r="P40" t="n">
        <v>0.3229479259615973</v>
      </c>
      <c r="Q40" t="n">
        <v>0.3645087077301762</v>
      </c>
      <c r="R40" t="n">
        <v>1.908963550166195</v>
      </c>
      <c r="S40" t="n">
        <v>3.515266856895653</v>
      </c>
      <c r="T40" t="n">
        <v>3.473706075127074</v>
      </c>
      <c r="U40" t="n">
        <v>2.084162398758687</v>
      </c>
      <c r="V40">
        <f>T40-R40</f>
        <v/>
      </c>
      <c r="W40">
        <f>T40-Settings!$B$5</f>
        <v/>
      </c>
      <c r="X40">
        <f>0.5*(R40+W40)</f>
        <v/>
      </c>
      <c r="Y40">
        <f>AVERAGE(L21:L40)</f>
        <v/>
      </c>
      <c r="Z40">
        <f>AVERAGE(M21:M40)</f>
        <v/>
      </c>
      <c r="AA40">
        <f>AVERAGE(R21:R40)</f>
        <v/>
      </c>
      <c r="AB40">
        <f>AVERAGE(W21:W40)</f>
        <v/>
      </c>
      <c r="AC40">
        <f>AVERAGE(X21:X40)</f>
        <v/>
      </c>
      <c r="AD40">
        <f>0.5*Y40+0.5*AA40</f>
        <v/>
      </c>
      <c r="AE40">
        <f>Settings!$B$3+Settings!$B$4*Z40</f>
        <v/>
      </c>
      <c r="AF40">
        <f>AC40</f>
        <v/>
      </c>
      <c r="AG40">
        <f>0.5*Y40+0.5*AC40</f>
        <v/>
      </c>
      <c r="AH40">
        <f>(AA40+AB40+Y40)/3</f>
        <v/>
      </c>
      <c r="AI40">
        <f>0.7*AA40+0.3*Y40</f>
        <v/>
      </c>
    </row>
    <row r="41">
      <c r="A41" t="inlineStr">
        <is>
          <t>1994-10-01</t>
        </is>
      </c>
      <c r="B41" t="n">
        <v>519542.6355037005</v>
      </c>
      <c r="C41" t="n">
        <v>286485.4162896362</v>
      </c>
      <c r="D41" t="n">
        <v>65.6075784813912</v>
      </c>
      <c r="E41" t="n">
        <v>0.2842956203427383</v>
      </c>
      <c r="F41" t="n">
        <v>2.077943895203752</v>
      </c>
      <c r="G41" t="n">
        <v>2.254471405184909</v>
      </c>
      <c r="H41" t="n">
        <v>3.944601162064706</v>
      </c>
      <c r="I41" t="n">
        <v>86.03080673340011</v>
      </c>
      <c r="J41" t="n">
        <v>1316.070415642083</v>
      </c>
      <c r="K41" t="n">
        <v>811.0737460899262</v>
      </c>
      <c r="L41" t="n">
        <v>5.319851149736678</v>
      </c>
      <c r="M41" t="n">
        <v>6.157253484343528</v>
      </c>
      <c r="N41" t="n">
        <v>0.2842956203427383</v>
      </c>
      <c r="O41" t="n">
        <v>0.2842956203427383</v>
      </c>
      <c r="P41" t="n">
        <v>0.3157938404816628</v>
      </c>
      <c r="Q41" t="n">
        <v>0.3654005851131304</v>
      </c>
      <c r="R41" t="n">
        <v>1.762150054722089</v>
      </c>
      <c r="S41" t="n">
        <v>3.628807321583043</v>
      </c>
      <c r="T41" t="n">
        <v>3.579200576951575</v>
      </c>
      <c r="U41" t="n">
        <v>1.938677564703246</v>
      </c>
      <c r="V41">
        <f>T41-R41</f>
        <v/>
      </c>
      <c r="W41">
        <f>T41-Settings!$B$5</f>
        <v/>
      </c>
      <c r="X41">
        <f>0.5*(R41+W41)</f>
        <v/>
      </c>
      <c r="Y41">
        <f>AVERAGE(L22:L41)</f>
        <v/>
      </c>
      <c r="Z41">
        <f>AVERAGE(M22:M41)</f>
        <v/>
      </c>
      <c r="AA41">
        <f>AVERAGE(R22:R41)</f>
        <v/>
      </c>
      <c r="AB41">
        <f>AVERAGE(W22:W41)</f>
        <v/>
      </c>
      <c r="AC41">
        <f>AVERAGE(X22:X41)</f>
        <v/>
      </c>
      <c r="AD41">
        <f>0.5*Y41+0.5*AA41</f>
        <v/>
      </c>
      <c r="AE41">
        <f>Settings!$B$3+Settings!$B$4*Z41</f>
        <v/>
      </c>
      <c r="AF41">
        <f>AC41</f>
        <v/>
      </c>
      <c r="AG41">
        <f>0.5*Y41+0.5*AC41</f>
        <v/>
      </c>
      <c r="AH41">
        <f>(AA41+AB41+Y41)/3</f>
        <v/>
      </c>
      <c r="AI41">
        <f>0.7*AA41+0.3*Y41</f>
        <v/>
      </c>
    </row>
    <row r="42">
      <c r="A42" t="inlineStr">
        <is>
          <t>1995-01-01</t>
        </is>
      </c>
      <c r="B42" t="n">
        <v>526644.6349696</v>
      </c>
      <c r="C42" t="n">
        <v>287288.8957813523</v>
      </c>
      <c r="D42" t="n">
        <v>65.66676546108719</v>
      </c>
      <c r="E42" t="n">
        <v>0.3088442620040461</v>
      </c>
      <c r="F42" t="n">
        <v>1.977571789598582</v>
      </c>
      <c r="G42" t="n">
        <v>2.107961109226998</v>
      </c>
      <c r="H42" t="n">
        <v>3.679369847615552</v>
      </c>
      <c r="I42" t="n">
        <v>85.89460233291113</v>
      </c>
      <c r="J42" t="n">
        <v>1317.428128312384</v>
      </c>
      <c r="K42" t="n">
        <v>811.5122603584847</v>
      </c>
      <c r="L42" t="n">
        <v>5.430850681205811</v>
      </c>
      <c r="M42" t="n">
        <v>1.75405707423397</v>
      </c>
      <c r="N42" t="n">
        <v>0.3088442620040461</v>
      </c>
      <c r="O42" t="n">
        <v>0.3088442620040461</v>
      </c>
      <c r="P42" t="n">
        <v>0.3142610372520655</v>
      </c>
      <c r="Q42" t="n">
        <v>0.3945116598832943</v>
      </c>
      <c r="R42" t="n">
        <v>1.663310752346517</v>
      </c>
      <c r="S42" t="n">
        <v>3.365108810363486</v>
      </c>
      <c r="T42" t="n">
        <v>3.284858187732258</v>
      </c>
      <c r="U42" t="n">
        <v>1.793700071974933</v>
      </c>
      <c r="V42">
        <f>T42-R42</f>
        <v/>
      </c>
      <c r="W42">
        <f>T42-Settings!$B$5</f>
        <v/>
      </c>
      <c r="X42">
        <f>0.5*(R42+W42)</f>
        <v/>
      </c>
      <c r="Y42">
        <f>AVERAGE(L23:L42)</f>
        <v/>
      </c>
      <c r="Z42">
        <f>AVERAGE(M23:M42)</f>
        <v/>
      </c>
      <c r="AA42">
        <f>AVERAGE(R23:R42)</f>
        <v/>
      </c>
      <c r="AB42">
        <f>AVERAGE(W23:W42)</f>
        <v/>
      </c>
      <c r="AC42">
        <f>AVERAGE(X23:X42)</f>
        <v/>
      </c>
      <c r="AD42">
        <f>0.5*Y42+0.5*AA42</f>
        <v/>
      </c>
      <c r="AE42">
        <f>Settings!$B$3+Settings!$B$4*Z42</f>
        <v/>
      </c>
      <c r="AF42">
        <f>AC42</f>
        <v/>
      </c>
      <c r="AG42">
        <f>0.5*Y42+0.5*AC42</f>
        <v/>
      </c>
      <c r="AH42">
        <f>(AA42+AB42+Y42)/3</f>
        <v/>
      </c>
      <c r="AI42">
        <f>0.7*AA42+0.3*Y42</f>
        <v/>
      </c>
    </row>
    <row r="43">
      <c r="A43" t="inlineStr">
        <is>
          <t>1995-04-01</t>
        </is>
      </c>
      <c r="B43" t="n">
        <v>533446.6443103798</v>
      </c>
      <c r="C43" t="n">
        <v>293338.4848716464</v>
      </c>
      <c r="D43" t="n">
        <v>65.75766442364795</v>
      </c>
      <c r="E43" t="n">
        <v>0.2610639852160221</v>
      </c>
      <c r="F43" t="n">
        <v>1.897616697532157</v>
      </c>
      <c r="G43" t="n">
        <v>2.068707544201093</v>
      </c>
      <c r="H43" t="n">
        <v>3.553386783976216</v>
      </c>
      <c r="I43" t="n">
        <v>85.95677808738677</v>
      </c>
      <c r="J43" t="n">
        <v>1318.711433405784</v>
      </c>
      <c r="K43" t="n">
        <v>813.5237870156064</v>
      </c>
      <c r="L43" t="n">
        <v>5.133220373599215</v>
      </c>
      <c r="M43" t="n">
        <v>8.046106628486996</v>
      </c>
      <c r="N43" t="n">
        <v>0.2610639852160221</v>
      </c>
      <c r="O43" t="n">
        <v>0.2610639852160221</v>
      </c>
      <c r="P43" t="n">
        <v>0.2801945082634845</v>
      </c>
      <c r="Q43" t="n">
        <v>0.3629617683458387</v>
      </c>
      <c r="R43" t="n">
        <v>1.617422189268672</v>
      </c>
      <c r="S43" t="n">
        <v>3.273192275712732</v>
      </c>
      <c r="T43" t="n">
        <v>3.190425015630377</v>
      </c>
      <c r="U43" t="n">
        <v>1.788513035937608</v>
      </c>
      <c r="V43">
        <f>T43-R43</f>
        <v/>
      </c>
      <c r="W43">
        <f>T43-Settings!$B$5</f>
        <v/>
      </c>
      <c r="X43">
        <f>0.5*(R43+W43)</f>
        <v/>
      </c>
      <c r="Y43">
        <f>AVERAGE(L24:L43)</f>
        <v/>
      </c>
      <c r="Z43">
        <f>AVERAGE(M24:M43)</f>
        <v/>
      </c>
      <c r="AA43">
        <f>AVERAGE(R24:R43)</f>
        <v/>
      </c>
      <c r="AB43">
        <f>AVERAGE(W24:W43)</f>
        <v/>
      </c>
      <c r="AC43">
        <f>AVERAGE(X24:X43)</f>
        <v/>
      </c>
      <c r="AD43">
        <f>0.5*Y43+0.5*AA43</f>
        <v/>
      </c>
      <c r="AE43">
        <f>Settings!$B$3+Settings!$B$4*Z43</f>
        <v/>
      </c>
      <c r="AF43">
        <f>AC43</f>
        <v/>
      </c>
      <c r="AG43">
        <f>0.5*Y43+0.5*AC43</f>
        <v/>
      </c>
      <c r="AH43">
        <f>(AA43+AB43+Y43)/3</f>
        <v/>
      </c>
      <c r="AI43">
        <f>0.7*AA43+0.3*Y43</f>
        <v/>
      </c>
    </row>
    <row r="44">
      <c r="A44" t="inlineStr">
        <is>
          <t>1995-07-01</t>
        </is>
      </c>
      <c r="B44" t="n">
        <v>538227.7550277811</v>
      </c>
      <c r="C44" t="n">
        <v>295028.4773959203</v>
      </c>
      <c r="D44" t="n">
        <v>65.80756510918835</v>
      </c>
      <c r="E44" t="n">
        <v>0.3176900565440139</v>
      </c>
      <c r="F44" t="n">
        <v>1.671712046390974</v>
      </c>
      <c r="G44" t="n">
        <v>1.844257362915596</v>
      </c>
      <c r="H44" t="n">
        <v>3.465870922005106</v>
      </c>
      <c r="I44" t="n">
        <v>85.84098949677553</v>
      </c>
      <c r="J44" t="n">
        <v>1319.603708604518</v>
      </c>
      <c r="K44" t="n">
        <v>814.2330538729926</v>
      </c>
      <c r="L44" t="n">
        <v>3.569100794935366</v>
      </c>
      <c r="M44" t="n">
        <v>2.837067429544732</v>
      </c>
      <c r="N44" t="n">
        <v>0.3176900565440139</v>
      </c>
      <c r="O44" t="n">
        <v>0.3176900565440139</v>
      </c>
      <c r="P44" t="n">
        <v>0.2929734810267051</v>
      </c>
      <c r="Q44" t="n">
        <v>0.3456452052326884</v>
      </c>
      <c r="R44" t="n">
        <v>1.378738565364269</v>
      </c>
      <c r="S44" t="n">
        <v>3.172897440978401</v>
      </c>
      <c r="T44" t="n">
        <v>3.120225716772418</v>
      </c>
      <c r="U44" t="n">
        <v>1.551283881888891</v>
      </c>
      <c r="V44">
        <f>T44-R44</f>
        <v/>
      </c>
      <c r="W44">
        <f>T44-Settings!$B$5</f>
        <v/>
      </c>
      <c r="X44">
        <f>0.5*(R44+W44)</f>
        <v/>
      </c>
      <c r="Y44">
        <f>AVERAGE(L25:L44)</f>
        <v/>
      </c>
      <c r="Z44">
        <f>AVERAGE(M25:M44)</f>
        <v/>
      </c>
      <c r="AA44">
        <f>AVERAGE(R25:R44)</f>
        <v/>
      </c>
      <c r="AB44">
        <f>AVERAGE(W25:W44)</f>
        <v/>
      </c>
      <c r="AC44">
        <f>AVERAGE(X25:X44)</f>
        <v/>
      </c>
      <c r="AD44">
        <f>0.5*Y44+0.5*AA44</f>
        <v/>
      </c>
      <c r="AE44">
        <f>Settings!$B$3+Settings!$B$4*Z44</f>
        <v/>
      </c>
      <c r="AF44">
        <f>AC44</f>
        <v/>
      </c>
      <c r="AG44">
        <f>0.5*Y44+0.5*AC44</f>
        <v/>
      </c>
      <c r="AH44">
        <f>(AA44+AB44+Y44)/3</f>
        <v/>
      </c>
      <c r="AI44">
        <f>0.7*AA44+0.3*Y44</f>
        <v/>
      </c>
    </row>
    <row r="45">
      <c r="A45" t="inlineStr">
        <is>
          <t>1995-10-01</t>
        </is>
      </c>
      <c r="B45" t="n">
        <v>544289.3102025718</v>
      </c>
      <c r="C45" t="n">
        <v>297903.2212096536</v>
      </c>
      <c r="D45" t="n">
        <v>65.92261297743774</v>
      </c>
      <c r="E45" t="n">
        <v>0.4790308521235621</v>
      </c>
      <c r="F45" t="n">
        <v>1.656873545132556</v>
      </c>
      <c r="G45" t="n">
        <v>1.850840405496991</v>
      </c>
      <c r="H45" t="n">
        <v>3.465271645464001</v>
      </c>
      <c r="I45" t="n">
        <v>85.92680299633989</v>
      </c>
      <c r="J45" t="n">
        <v>1320.723620469714</v>
      </c>
      <c r="K45" t="n">
        <v>815.1028145810901</v>
      </c>
      <c r="L45" t="n">
        <v>4.479647460783781</v>
      </c>
      <c r="M45" t="n">
        <v>3.47904283238995</v>
      </c>
      <c r="N45" t="n">
        <v>0.4790308521235621</v>
      </c>
      <c r="O45" t="n">
        <v>0.4790308521235621</v>
      </c>
      <c r="P45" t="n">
        <v>0.3416572889719111</v>
      </c>
      <c r="Q45" t="n">
        <v>0.3504368906620779</v>
      </c>
      <c r="R45" t="n">
        <v>1.315216256160645</v>
      </c>
      <c r="S45" t="n">
        <v>3.12361435649209</v>
      </c>
      <c r="T45" t="n">
        <v>3.114834754801923</v>
      </c>
      <c r="U45" t="n">
        <v>1.50918311652508</v>
      </c>
      <c r="V45">
        <f>T45-R45</f>
        <v/>
      </c>
      <c r="W45">
        <f>T45-Settings!$B$5</f>
        <v/>
      </c>
      <c r="X45">
        <f>0.5*(R45+W45)</f>
        <v/>
      </c>
      <c r="Y45">
        <f>AVERAGE(L26:L45)</f>
        <v/>
      </c>
      <c r="Z45">
        <f>AVERAGE(M26:M45)</f>
        <v/>
      </c>
      <c r="AA45">
        <f>AVERAGE(R26:R45)</f>
        <v/>
      </c>
      <c r="AB45">
        <f>AVERAGE(W26:W45)</f>
        <v/>
      </c>
      <c r="AC45">
        <f>AVERAGE(X26:X45)</f>
        <v/>
      </c>
      <c r="AD45">
        <f>0.5*Y45+0.5*AA45</f>
        <v/>
      </c>
      <c r="AE45">
        <f>Settings!$B$3+Settings!$B$4*Z45</f>
        <v/>
      </c>
      <c r="AF45">
        <f>AC45</f>
        <v/>
      </c>
      <c r="AG45">
        <f>0.5*Y45+0.5*AC45</f>
        <v/>
      </c>
      <c r="AH45">
        <f>(AA45+AB45+Y45)/3</f>
        <v/>
      </c>
      <c r="AI45">
        <f>0.7*AA45+0.3*Y45</f>
        <v/>
      </c>
    </row>
    <row r="46">
      <c r="A46" t="inlineStr">
        <is>
          <t>1996-01-01</t>
        </is>
      </c>
      <c r="B46" t="n">
        <v>549933.8180505489</v>
      </c>
      <c r="C46" t="n">
        <v>301403.0272024374</v>
      </c>
      <c r="D46" t="n">
        <v>66.01448046303261</v>
      </c>
      <c r="E46" t="n">
        <v>0.5281174364287122</v>
      </c>
      <c r="F46" t="n">
        <v>1.473061434119113</v>
      </c>
      <c r="G46" t="n">
        <v>1.706450410868921</v>
      </c>
      <c r="H46" t="n">
        <v>3.203710817661885</v>
      </c>
      <c r="I46" t="n">
        <v>85.89976835138879</v>
      </c>
      <c r="J46" t="n">
        <v>1321.755321915114</v>
      </c>
      <c r="K46" t="n">
        <v>816.3022476665456</v>
      </c>
      <c r="L46" t="n">
        <v>4.126805781599614</v>
      </c>
      <c r="M46" t="n">
        <v>4.797732341821757</v>
      </c>
      <c r="N46" t="n">
        <v>0.5281174364287122</v>
      </c>
      <c r="O46" t="n">
        <v>0.5281174364287122</v>
      </c>
      <c r="P46" t="n">
        <v>0.3964755825780776</v>
      </c>
      <c r="Q46" t="n">
        <v>0.3538929650394794</v>
      </c>
      <c r="R46" t="n">
        <v>1.076585851541035</v>
      </c>
      <c r="S46" t="n">
        <v>2.807235235083807</v>
      </c>
      <c r="T46" t="n">
        <v>2.849817852622405</v>
      </c>
      <c r="U46" t="n">
        <v>1.309974828290843</v>
      </c>
      <c r="V46">
        <f>T46-R46</f>
        <v/>
      </c>
      <c r="W46">
        <f>T46-Settings!$B$5</f>
        <v/>
      </c>
      <c r="X46">
        <f>0.5*(R46+W46)</f>
        <v/>
      </c>
      <c r="Y46">
        <f>AVERAGE(L27:L46)</f>
        <v/>
      </c>
      <c r="Z46">
        <f>AVERAGE(M27:M46)</f>
        <v/>
      </c>
      <c r="AA46">
        <f>AVERAGE(R27:R46)</f>
        <v/>
      </c>
      <c r="AB46">
        <f>AVERAGE(W27:W46)</f>
        <v/>
      </c>
      <c r="AC46">
        <f>AVERAGE(X27:X46)</f>
        <v/>
      </c>
      <c r="AD46">
        <f>0.5*Y46+0.5*AA46</f>
        <v/>
      </c>
      <c r="AE46">
        <f>Settings!$B$3+Settings!$B$4*Z46</f>
        <v/>
      </c>
      <c r="AF46">
        <f>AC46</f>
        <v/>
      </c>
      <c r="AG46">
        <f>0.5*Y46+0.5*AC46</f>
        <v/>
      </c>
      <c r="AH46">
        <f>(AA46+AB46+Y46)/3</f>
        <v/>
      </c>
      <c r="AI46">
        <f>0.7*AA46+0.3*Y46</f>
        <v/>
      </c>
    </row>
    <row r="47">
      <c r="A47" t="inlineStr">
        <is>
          <t>1996-04-01</t>
        </is>
      </c>
      <c r="B47" t="n">
        <v>555453.0944749536</v>
      </c>
      <c r="C47" t="n">
        <v>305091.176905468</v>
      </c>
      <c r="D47" t="n">
        <v>66.10573357156611</v>
      </c>
      <c r="E47" t="n">
        <v>0.5279250521590677</v>
      </c>
      <c r="F47" t="n">
        <v>1.432390633036678</v>
      </c>
      <c r="G47" t="n">
        <v>1.625038813500957</v>
      </c>
      <c r="H47" t="n">
        <v>3.315493818803476</v>
      </c>
      <c r="I47" t="n">
        <v>85.92727661373948</v>
      </c>
      <c r="J47" t="n">
        <v>1322.753944610778</v>
      </c>
      <c r="K47" t="n">
        <v>817.486463384525</v>
      </c>
      <c r="L47" t="n">
        <v>3.994490782656612</v>
      </c>
      <c r="M47" t="n">
        <v>4.736862871917765</v>
      </c>
      <c r="N47" t="n">
        <v>0.5279250521590677</v>
      </c>
      <c r="O47" t="n">
        <v>0.5279250521590677</v>
      </c>
      <c r="P47" t="n">
        <v>0.463190849313839</v>
      </c>
      <c r="Q47" t="n">
        <v>0.3598226152962259</v>
      </c>
      <c r="R47" t="n">
        <v>0.9691997837228392</v>
      </c>
      <c r="S47" t="n">
        <v>2.852302969489637</v>
      </c>
      <c r="T47" t="n">
        <v>2.95567120350725</v>
      </c>
      <c r="U47" t="n">
        <v>1.161847964187118</v>
      </c>
      <c r="V47">
        <f>T47-R47</f>
        <v/>
      </c>
      <c r="W47">
        <f>T47-Settings!$B$5</f>
        <v/>
      </c>
      <c r="X47">
        <f>0.5*(R47+W47)</f>
        <v/>
      </c>
      <c r="Y47">
        <f>AVERAGE(L28:L47)</f>
        <v/>
      </c>
      <c r="Z47">
        <f>AVERAGE(M28:M47)</f>
        <v/>
      </c>
      <c r="AA47">
        <f>AVERAGE(R28:R47)</f>
        <v/>
      </c>
      <c r="AB47">
        <f>AVERAGE(W28:W47)</f>
        <v/>
      </c>
      <c r="AC47">
        <f>AVERAGE(X28:X47)</f>
        <v/>
      </c>
      <c r="AD47">
        <f>0.5*Y47+0.5*AA47</f>
        <v/>
      </c>
      <c r="AE47">
        <f>Settings!$B$3+Settings!$B$4*Z47</f>
        <v/>
      </c>
      <c r="AF47">
        <f>AC47</f>
        <v/>
      </c>
      <c r="AG47">
        <f>0.5*Y47+0.5*AC47</f>
        <v/>
      </c>
      <c r="AH47">
        <f>(AA47+AB47+Y47)/3</f>
        <v/>
      </c>
      <c r="AI47">
        <f>0.7*AA47+0.3*Y47</f>
        <v/>
      </c>
    </row>
    <row r="48">
      <c r="A48" t="inlineStr">
        <is>
          <t>1996-07-01</t>
        </is>
      </c>
      <c r="B48" t="n">
        <v>561725.0693234308</v>
      </c>
      <c r="C48" t="n">
        <v>310082.7319456351</v>
      </c>
      <c r="D48" t="n">
        <v>66.18283050297426</v>
      </c>
      <c r="E48" t="n">
        <v>0.5686268355913253</v>
      </c>
      <c r="F48" t="n">
        <v>1.130286984754976</v>
      </c>
      <c r="G48" t="n">
        <v>1.299362573146842</v>
      </c>
      <c r="H48" t="n">
        <v>2.796069468117886</v>
      </c>
      <c r="I48" t="n">
        <v>85.90938171963604</v>
      </c>
      <c r="J48" t="n">
        <v>1323.876780868611</v>
      </c>
      <c r="K48" t="n">
        <v>819.1301378313981</v>
      </c>
      <c r="L48" t="n">
        <v>4.491345031334276</v>
      </c>
      <c r="M48" t="n">
        <v>6.574697787492369</v>
      </c>
      <c r="N48" t="n">
        <v>0.5686268355913253</v>
      </c>
      <c r="O48" t="n">
        <v>0.5686268355913253</v>
      </c>
      <c r="P48" t="n">
        <v>0.5259250440756669</v>
      </c>
      <c r="Q48" t="n">
        <v>0.365161923687254</v>
      </c>
      <c r="R48" t="n">
        <v>0.6043619406793095</v>
      </c>
      <c r="S48" t="n">
        <v>2.270144424042219</v>
      </c>
      <c r="T48" t="n">
        <v>2.430907544430632</v>
      </c>
      <c r="U48" t="n">
        <v>0.7734375290711748</v>
      </c>
      <c r="V48">
        <f>T48-R48</f>
        <v/>
      </c>
      <c r="W48">
        <f>T48-Settings!$B$5</f>
        <v/>
      </c>
      <c r="X48">
        <f>0.5*(R48+W48)</f>
        <v/>
      </c>
      <c r="Y48">
        <f>AVERAGE(L29:L48)</f>
        <v/>
      </c>
      <c r="Z48">
        <f>AVERAGE(M29:M48)</f>
        <v/>
      </c>
      <c r="AA48">
        <f>AVERAGE(R29:R48)</f>
        <v/>
      </c>
      <c r="AB48">
        <f>AVERAGE(W29:W48)</f>
        <v/>
      </c>
      <c r="AC48">
        <f>AVERAGE(X29:X48)</f>
        <v/>
      </c>
      <c r="AD48">
        <f>0.5*Y48+0.5*AA48</f>
        <v/>
      </c>
      <c r="AE48">
        <f>Settings!$B$3+Settings!$B$4*Z48</f>
        <v/>
      </c>
      <c r="AF48">
        <f>AC48</f>
        <v/>
      </c>
      <c r="AG48">
        <f>0.5*Y48+0.5*AC48</f>
        <v/>
      </c>
      <c r="AH48">
        <f>(AA48+AB48+Y48)/3</f>
        <v/>
      </c>
      <c r="AI48">
        <f>0.7*AA48+0.3*Y48</f>
        <v/>
      </c>
    </row>
    <row r="49">
      <c r="A49" t="inlineStr">
        <is>
          <t>1996-10-01</t>
        </is>
      </c>
      <c r="B49" t="n">
        <v>566528.2374307796</v>
      </c>
      <c r="C49" t="n">
        <v>309941.742692347</v>
      </c>
      <c r="D49" t="n">
        <v>66.34821191745735</v>
      </c>
      <c r="E49" t="n">
        <v>0.6435287738345075</v>
      </c>
      <c r="F49" t="n">
        <v>1.085671711244792</v>
      </c>
      <c r="G49" t="n">
        <v>1.283963075008386</v>
      </c>
      <c r="H49" t="n">
        <v>2.844977336367536</v>
      </c>
      <c r="I49" t="n">
        <v>85.83513875241262</v>
      </c>
      <c r="J49" t="n">
        <v>1324.728220362857</v>
      </c>
      <c r="K49" t="n">
        <v>819.1711166778834</v>
      </c>
      <c r="L49" t="n">
        <v>3.405757976984205</v>
      </c>
      <c r="M49" t="n">
        <v>0.1639153859414364</v>
      </c>
      <c r="N49" t="n">
        <v>0.6435287738345075</v>
      </c>
      <c r="O49" t="n">
        <v>0.6435287738345075</v>
      </c>
      <c r="P49" t="n">
        <v>0.5670495245034032</v>
      </c>
      <c r="Q49" t="n">
        <v>0.3765477263618395</v>
      </c>
      <c r="R49" t="n">
        <v>0.5186221867413884</v>
      </c>
      <c r="S49" t="n">
        <v>2.277927811864133</v>
      </c>
      <c r="T49" t="n">
        <v>2.468429610005697</v>
      </c>
      <c r="U49" t="n">
        <v>0.7169135505049825</v>
      </c>
      <c r="V49">
        <f>T49-R49</f>
        <v/>
      </c>
      <c r="W49">
        <f>T49-Settings!$B$5</f>
        <v/>
      </c>
      <c r="X49">
        <f>0.5*(R49+W49)</f>
        <v/>
      </c>
      <c r="Y49">
        <f>AVERAGE(L30:L49)</f>
        <v/>
      </c>
      <c r="Z49">
        <f>AVERAGE(M30:M49)</f>
        <v/>
      </c>
      <c r="AA49">
        <f>AVERAGE(R30:R49)</f>
        <v/>
      </c>
      <c r="AB49">
        <f>AVERAGE(W30:W49)</f>
        <v/>
      </c>
      <c r="AC49">
        <f>AVERAGE(X30:X49)</f>
        <v/>
      </c>
      <c r="AD49">
        <f>0.5*Y49+0.5*AA49</f>
        <v/>
      </c>
      <c r="AE49">
        <f>Settings!$B$3+Settings!$B$4*Z49</f>
        <v/>
      </c>
      <c r="AF49">
        <f>AC49</f>
        <v/>
      </c>
      <c r="AG49">
        <f>0.5*Y49+0.5*AC49</f>
        <v/>
      </c>
      <c r="AH49">
        <f>(AA49+AB49+Y49)/3</f>
        <v/>
      </c>
      <c r="AI49">
        <f>0.7*AA49+0.3*Y49</f>
        <v/>
      </c>
    </row>
    <row r="50">
      <c r="A50" t="inlineStr">
        <is>
          <t>1997-01-01</t>
        </is>
      </c>
      <c r="B50" t="n">
        <v>571697.1814422365</v>
      </c>
      <c r="C50" t="n">
        <v>314471.9784171155</v>
      </c>
      <c r="D50" t="n">
        <v>66.38777578439506</v>
      </c>
      <c r="E50" t="n">
        <v>0.5638820984770647</v>
      </c>
      <c r="F50" t="n">
        <v>0.9156765924382948</v>
      </c>
      <c r="G50" t="n">
        <v>1.147151801081535</v>
      </c>
      <c r="H50" t="n">
        <v>2.657189178944995</v>
      </c>
      <c r="I50" t="n">
        <v>85.77498194613015</v>
      </c>
      <c r="J50" t="n">
        <v>1325.636472710564</v>
      </c>
      <c r="K50" t="n">
        <v>820.6922874055294</v>
      </c>
      <c r="L50" t="n">
        <v>3.633009390825464</v>
      </c>
      <c r="M50" t="n">
        <v>6.084682910583979</v>
      </c>
      <c r="N50" t="n">
        <v>0.5638820984770647</v>
      </c>
      <c r="O50" t="n">
        <v>0.5638820984770647</v>
      </c>
      <c r="P50" t="n">
        <v>0.5759906900154913</v>
      </c>
      <c r="Q50" t="n">
        <v>0.3809311531902261</v>
      </c>
      <c r="R50" t="n">
        <v>0.3396859024228035</v>
      </c>
      <c r="S50" t="n">
        <v>2.081198488929504</v>
      </c>
      <c r="T50" t="n">
        <v>2.276258025754769</v>
      </c>
      <c r="U50" t="n">
        <v>0.5711611110660441</v>
      </c>
      <c r="V50">
        <f>T50-R50</f>
        <v/>
      </c>
      <c r="W50">
        <f>T50-Settings!$B$5</f>
        <v/>
      </c>
      <c r="X50">
        <f>0.5*(R50+W50)</f>
        <v/>
      </c>
      <c r="Y50">
        <f>AVERAGE(L31:L50)</f>
        <v/>
      </c>
      <c r="Z50">
        <f>AVERAGE(M31:M50)</f>
        <v/>
      </c>
      <c r="AA50">
        <f>AVERAGE(R31:R50)</f>
        <v/>
      </c>
      <c r="AB50">
        <f>AVERAGE(W31:W50)</f>
        <v/>
      </c>
      <c r="AC50">
        <f>AVERAGE(X31:X50)</f>
        <v/>
      </c>
      <c r="AD50">
        <f>0.5*Y50+0.5*AA50</f>
        <v/>
      </c>
      <c r="AE50">
        <f>Settings!$B$3+Settings!$B$4*Z50</f>
        <v/>
      </c>
      <c r="AF50">
        <f>AC50</f>
        <v/>
      </c>
      <c r="AG50">
        <f>0.5*Y50+0.5*AC50</f>
        <v/>
      </c>
      <c r="AH50">
        <f>(AA50+AB50+Y50)/3</f>
        <v/>
      </c>
      <c r="AI50">
        <f>0.7*AA50+0.3*Y50</f>
        <v/>
      </c>
    </row>
    <row r="51">
      <c r="A51" t="inlineStr">
        <is>
          <t>1997-04-01</t>
        </is>
      </c>
      <c r="B51" t="n">
        <v>575397.3761385378</v>
      </c>
      <c r="C51" t="n">
        <v>315856.2523784186</v>
      </c>
      <c r="D51" t="n">
        <v>66.33782837331528</v>
      </c>
      <c r="E51" t="n">
        <v>0.3504814215553214</v>
      </c>
      <c r="F51" t="n">
        <v>0.8336885266818024</v>
      </c>
      <c r="G51" t="n">
        <v>1.004409762198355</v>
      </c>
      <c r="H51" t="n">
        <v>2.629029799647868</v>
      </c>
      <c r="I51" t="n">
        <v>85.79925805562729</v>
      </c>
      <c r="J51" t="n">
        <v>1326.281617002408</v>
      </c>
      <c r="K51" t="n">
        <v>821.103213244891</v>
      </c>
      <c r="L51" t="n">
        <v>2.580577167376759</v>
      </c>
      <c r="M51" t="n">
        <v>1.643703357446157</v>
      </c>
      <c r="N51" t="n">
        <v>-1.149518578444679</v>
      </c>
      <c r="O51" t="n">
        <v>-1.149518578444679</v>
      </c>
      <c r="P51" t="n">
        <v>0.1566297823645547</v>
      </c>
      <c r="Q51" t="n">
        <v>0.3016823728625923</v>
      </c>
      <c r="R51" t="n">
        <v>0.6770587443172477</v>
      </c>
      <c r="S51" t="n">
        <v>2.472400017283314</v>
      </c>
      <c r="T51" t="n">
        <v>2.327347426785276</v>
      </c>
      <c r="U51" t="n">
        <v>0.8477799798338005</v>
      </c>
      <c r="V51">
        <f>T51-R51</f>
        <v/>
      </c>
      <c r="W51">
        <f>T51-Settings!$B$5</f>
        <v/>
      </c>
      <c r="X51">
        <f>0.5*(R51+W51)</f>
        <v/>
      </c>
      <c r="Y51">
        <f>AVERAGE(L32:L51)</f>
        <v/>
      </c>
      <c r="Z51">
        <f>AVERAGE(M32:M51)</f>
        <v/>
      </c>
      <c r="AA51">
        <f>AVERAGE(R32:R51)</f>
        <v/>
      </c>
      <c r="AB51">
        <f>AVERAGE(W32:W51)</f>
        <v/>
      </c>
      <c r="AC51">
        <f>AVERAGE(X32:X51)</f>
        <v/>
      </c>
      <c r="AD51">
        <f>0.5*Y51+0.5*AA51</f>
        <v/>
      </c>
      <c r="AE51">
        <f>Settings!$B$3+Settings!$B$4*Z51</f>
        <v/>
      </c>
      <c r="AF51">
        <f>AC51</f>
        <v/>
      </c>
      <c r="AG51">
        <f>0.5*Y51+0.5*AC51</f>
        <v/>
      </c>
      <c r="AH51">
        <f>(AA51+AB51+Y51)/3</f>
        <v/>
      </c>
      <c r="AI51">
        <f>0.7*AA51+0.3*Y51</f>
        <v/>
      </c>
    </row>
    <row r="52">
      <c r="A52" t="inlineStr">
        <is>
          <t>1997-07-01</t>
        </is>
      </c>
      <c r="B52" t="n">
        <v>579061.5248062167</v>
      </c>
      <c r="C52" t="n">
        <v>318066.6777482922</v>
      </c>
      <c r="D52" t="n">
        <v>66.46752542778393</v>
      </c>
      <c r="E52" t="n">
        <v>0.4292417610698</v>
      </c>
      <c r="F52" t="n">
        <v>0.7623832950554471</v>
      </c>
      <c r="G52" t="n">
        <v>0.9350660485378036</v>
      </c>
      <c r="H52" t="n">
        <v>2.590269723520171</v>
      </c>
      <c r="I52" t="n">
        <v>85.72360411813378</v>
      </c>
      <c r="J52" t="n">
        <v>1326.916401136968</v>
      </c>
      <c r="K52" t="n">
        <v>821.888810327323</v>
      </c>
      <c r="L52" t="n">
        <v>2.539136538238381</v>
      </c>
      <c r="M52" t="n">
        <v>3.142388329727964</v>
      </c>
      <c r="N52" t="n">
        <v>-1.0707582389302</v>
      </c>
      <c r="O52" t="n">
        <v>-1.0707582389302</v>
      </c>
      <c r="P52" t="n">
        <v>-0.2532164862658266</v>
      </c>
      <c r="Q52" t="n">
        <v>0.233615922588414</v>
      </c>
      <c r="R52" t="n">
        <v>1.015599781321274</v>
      </c>
      <c r="S52" t="n">
        <v>2.843486209785998</v>
      </c>
      <c r="T52" t="n">
        <v>2.356653800931757</v>
      </c>
      <c r="U52" t="n">
        <v>1.18828253480363</v>
      </c>
      <c r="V52">
        <f>T52-R52</f>
        <v/>
      </c>
      <c r="W52">
        <f>T52-Settings!$B$5</f>
        <v/>
      </c>
      <c r="X52">
        <f>0.5*(R52+W52)</f>
        <v/>
      </c>
      <c r="Y52">
        <f>AVERAGE(L33:L52)</f>
        <v/>
      </c>
      <c r="Z52">
        <f>AVERAGE(M33:M52)</f>
        <v/>
      </c>
      <c r="AA52">
        <f>AVERAGE(R33:R52)</f>
        <v/>
      </c>
      <c r="AB52">
        <f>AVERAGE(W33:W52)</f>
        <v/>
      </c>
      <c r="AC52">
        <f>AVERAGE(X33:X52)</f>
        <v/>
      </c>
      <c r="AD52">
        <f>0.5*Y52+0.5*AA52</f>
        <v/>
      </c>
      <c r="AE52">
        <f>Settings!$B$3+Settings!$B$4*Z52</f>
        <v/>
      </c>
      <c r="AF52">
        <f>AC52</f>
        <v/>
      </c>
      <c r="AG52">
        <f>0.5*Y52+0.5*AC52</f>
        <v/>
      </c>
      <c r="AH52">
        <f>(AA52+AB52+Y52)/3</f>
        <v/>
      </c>
      <c r="AI52">
        <f>0.7*AA52+0.3*Y52</f>
        <v/>
      </c>
    </row>
    <row r="53">
      <c r="A53" t="inlineStr">
        <is>
          <t>1997-10-01</t>
        </is>
      </c>
      <c r="B53" t="n">
        <v>582932.1145223164</v>
      </c>
      <c r="C53" t="n">
        <v>321901.2329336952</v>
      </c>
      <c r="D53" t="n">
        <v>66.49456495889036</v>
      </c>
      <c r="E53" t="n">
        <v>0.2203403212220817</v>
      </c>
      <c r="F53" t="n">
        <v>0.6160386687275122</v>
      </c>
      <c r="G53" t="n">
        <v>0.832795137505739</v>
      </c>
      <c r="H53" t="n">
        <v>2.315249373765158</v>
      </c>
      <c r="I53" t="n">
        <v>85.72493036742783</v>
      </c>
      <c r="J53" t="n">
        <v>1327.582601691009</v>
      </c>
      <c r="K53" t="n">
        <v>823.0856361385511</v>
      </c>
      <c r="L53" t="n">
        <v>2.664802216167118</v>
      </c>
      <c r="M53" t="n">
        <v>4.787303244912437</v>
      </c>
      <c r="N53" t="n">
        <v>-1.279659678777918</v>
      </c>
      <c r="O53" t="n">
        <v>-1.279659678777918</v>
      </c>
      <c r="P53" t="n">
        <v>-0.7340135994189331</v>
      </c>
      <c r="Q53" t="n">
        <v>0.1565309254482655</v>
      </c>
      <c r="R53" t="n">
        <v>1.350052268146445</v>
      </c>
      <c r="S53" t="n">
        <v>3.049262973184091</v>
      </c>
      <c r="T53" t="n">
        <v>2.158718448316892</v>
      </c>
      <c r="U53" t="n">
        <v>1.566808736924672</v>
      </c>
      <c r="V53">
        <f>T53-R53</f>
        <v/>
      </c>
      <c r="W53">
        <f>T53-Settings!$B$5</f>
        <v/>
      </c>
      <c r="X53">
        <f>0.5*(R53+W53)</f>
        <v/>
      </c>
      <c r="Y53">
        <f>AVERAGE(L34:L53)</f>
        <v/>
      </c>
      <c r="Z53">
        <f>AVERAGE(M34:M53)</f>
        <v/>
      </c>
      <c r="AA53">
        <f>AVERAGE(R34:R53)</f>
        <v/>
      </c>
      <c r="AB53">
        <f>AVERAGE(W34:W53)</f>
        <v/>
      </c>
      <c r="AC53">
        <f>AVERAGE(X34:X53)</f>
        <v/>
      </c>
      <c r="AD53">
        <f>0.5*Y53+0.5*AA53</f>
        <v/>
      </c>
      <c r="AE53">
        <f>Settings!$B$3+Settings!$B$4*Z53</f>
        <v/>
      </c>
      <c r="AF53">
        <f>AC53</f>
        <v/>
      </c>
      <c r="AG53">
        <f>0.5*Y53+0.5*AC53</f>
        <v/>
      </c>
      <c r="AH53">
        <f>(AA53+AB53+Y53)/3</f>
        <v/>
      </c>
      <c r="AI53">
        <f>0.7*AA53+0.3*Y53</f>
        <v/>
      </c>
    </row>
    <row r="54">
      <c r="A54" t="inlineStr">
        <is>
          <t>1998-01-01</t>
        </is>
      </c>
      <c r="B54" t="n">
        <v>582795.2102873219</v>
      </c>
      <c r="C54" t="n">
        <v>321228.0531489496</v>
      </c>
      <c r="D54" t="n">
        <v>66.45008901343883</v>
      </c>
      <c r="E54" t="n">
        <v>0.0938184812127625</v>
      </c>
      <c r="F54" t="n">
        <v>0.4873311215525993</v>
      </c>
      <c r="G54" t="n">
        <v>0.6806850380806753</v>
      </c>
      <c r="H54" t="n">
        <v>2.359759389298222</v>
      </c>
      <c r="I54" t="n">
        <v>85.74930681584804</v>
      </c>
      <c r="J54" t="n">
        <v>1327.559113481939</v>
      </c>
      <c r="K54" t="n">
        <v>822.8478593578602</v>
      </c>
      <c r="L54" t="n">
        <v>-0.09395283628327888</v>
      </c>
      <c r="M54" t="n">
        <v>-0.9511071227634602</v>
      </c>
      <c r="N54" t="n">
        <v>-1.406181518787238</v>
      </c>
      <c r="O54" t="n">
        <v>-1.406181518787238</v>
      </c>
      <c r="P54" t="n">
        <v>-1.226529503735009</v>
      </c>
      <c r="Q54" t="n">
        <v>0.07457079915196753</v>
      </c>
      <c r="R54" t="n">
        <v>1.713860625287608</v>
      </c>
      <c r="S54" t="n">
        <v>3.586288893033231</v>
      </c>
      <c r="T54" t="n">
        <v>2.285188590146254</v>
      </c>
      <c r="U54" t="n">
        <v>1.907214541815684</v>
      </c>
      <c r="V54">
        <f>T54-R54</f>
        <v/>
      </c>
      <c r="W54">
        <f>T54-Settings!$B$5</f>
        <v/>
      </c>
      <c r="X54">
        <f>0.5*(R54+W54)</f>
        <v/>
      </c>
      <c r="Y54">
        <f>AVERAGE(L35:L54)</f>
        <v/>
      </c>
      <c r="Z54">
        <f>AVERAGE(M35:M54)</f>
        <v/>
      </c>
      <c r="AA54">
        <f>AVERAGE(R35:R54)</f>
        <v/>
      </c>
      <c r="AB54">
        <f>AVERAGE(W35:W54)</f>
        <v/>
      </c>
      <c r="AC54">
        <f>AVERAGE(X35:X54)</f>
        <v/>
      </c>
      <c r="AD54">
        <f>0.5*Y54+0.5*AA54</f>
        <v/>
      </c>
      <c r="AE54">
        <f>Settings!$B$3+Settings!$B$4*Z54</f>
        <v/>
      </c>
      <c r="AF54">
        <f>AC54</f>
        <v/>
      </c>
      <c r="AG54">
        <f>0.5*Y54+0.5*AC54</f>
        <v/>
      </c>
      <c r="AH54">
        <f>(AA54+AB54+Y54)/3</f>
        <v/>
      </c>
      <c r="AI54">
        <f>0.7*AA54+0.3*Y54</f>
        <v/>
      </c>
    </row>
    <row r="55">
      <c r="A55" t="inlineStr">
        <is>
          <t>1998-04-01</t>
        </is>
      </c>
      <c r="B55" t="n">
        <v>584340.8668533792</v>
      </c>
      <c r="C55" t="n">
        <v>323111.3757493438</v>
      </c>
      <c r="D55" t="n">
        <v>66.46551805731855</v>
      </c>
      <c r="E55" t="n">
        <v>0.1922989544822906</v>
      </c>
      <c r="F55" t="n">
        <v>0.367040756430997</v>
      </c>
      <c r="G55" t="n">
        <v>0.5864652971522811</v>
      </c>
      <c r="H55" t="n">
        <v>2.173340993264467</v>
      </c>
      <c r="I55" t="n">
        <v>85.64711143270053</v>
      </c>
      <c r="J55" t="n">
        <v>1327.823976765651</v>
      </c>
      <c r="K55" t="n">
        <v>823.5516860375004</v>
      </c>
      <c r="L55" t="n">
        <v>1.059453134850628</v>
      </c>
      <c r="M55" t="n">
        <v>2.815306718560805</v>
      </c>
      <c r="N55" t="n">
        <v>0.1922989544822906</v>
      </c>
      <c r="O55" t="n">
        <v>0.1922989544822906</v>
      </c>
      <c r="P55" t="n">
        <v>-0.8910751205032664</v>
      </c>
      <c r="Q55" t="n">
        <v>0.07211075667512681</v>
      </c>
      <c r="R55" t="n">
        <v>1.258115876934264</v>
      </c>
      <c r="S55" t="n">
        <v>3.064416113767733</v>
      </c>
      <c r="T55" t="n">
        <v>2.10123023658934</v>
      </c>
      <c r="U55" t="n">
        <v>1.477540417655548</v>
      </c>
      <c r="V55">
        <f>T55-R55</f>
        <v/>
      </c>
      <c r="W55">
        <f>T55-Settings!$B$5</f>
        <v/>
      </c>
      <c r="X55">
        <f>0.5*(R55+W55)</f>
        <v/>
      </c>
      <c r="Y55">
        <f>AVERAGE(L36:L55)</f>
        <v/>
      </c>
      <c r="Z55">
        <f>AVERAGE(M36:M55)</f>
        <v/>
      </c>
      <c r="AA55">
        <f>AVERAGE(R36:R55)</f>
        <v/>
      </c>
      <c r="AB55">
        <f>AVERAGE(W36:W55)</f>
        <v/>
      </c>
      <c r="AC55">
        <f>AVERAGE(X36:X55)</f>
        <v/>
      </c>
      <c r="AD55">
        <f>0.5*Y55+0.5*AA55</f>
        <v/>
      </c>
      <c r="AE55">
        <f>Settings!$B$3+Settings!$B$4*Z55</f>
        <v/>
      </c>
      <c r="AF55">
        <f>AC55</f>
        <v/>
      </c>
      <c r="AG55">
        <f>0.5*Y55+0.5*AC55</f>
        <v/>
      </c>
      <c r="AH55">
        <f>(AA55+AB55+Y55)/3</f>
        <v/>
      </c>
      <c r="AI55">
        <f>0.7*AA55+0.3*Y55</f>
        <v/>
      </c>
    </row>
    <row r="56">
      <c r="A56" t="inlineStr">
        <is>
          <t>1998-07-01</t>
        </is>
      </c>
      <c r="B56" t="n">
        <v>585386.6732658333</v>
      </c>
      <c r="C56" t="n">
        <v>321763.7515264302</v>
      </c>
      <c r="D56" t="n">
        <v>66.33592416592059</v>
      </c>
      <c r="E56" t="n">
        <v>-0.1981895882109143</v>
      </c>
      <c r="F56" t="n">
        <v>0.2601694120309972</v>
      </c>
      <c r="G56" t="n">
        <v>0.4597600082771383</v>
      </c>
      <c r="H56" t="n">
        <v>1.870974786699806</v>
      </c>
      <c r="I56" t="n">
        <v>85.69028393196213</v>
      </c>
      <c r="J56" t="n">
        <v>1328.002788780456</v>
      </c>
      <c r="K56" t="n">
        <v>823.0833418178024</v>
      </c>
      <c r="L56" t="n">
        <v>0.7152480592185384</v>
      </c>
      <c r="M56" t="n">
        <v>-1.873376878791987</v>
      </c>
      <c r="N56" t="n">
        <v>-0.1981895882109143</v>
      </c>
      <c r="O56" t="n">
        <v>-0.1981895882109143</v>
      </c>
      <c r="P56" t="n">
        <v>-0.6729329578234449</v>
      </c>
      <c r="Q56" t="n">
        <v>0.04313940139493955</v>
      </c>
      <c r="R56" t="n">
        <v>0.9331023698544421</v>
      </c>
      <c r="S56" t="n">
        <v>2.543907744523251</v>
      </c>
      <c r="T56" t="n">
        <v>1.827835385304866</v>
      </c>
      <c r="U56" t="n">
        <v>1.132692966100583</v>
      </c>
      <c r="V56">
        <f>T56-R56</f>
        <v/>
      </c>
      <c r="W56">
        <f>T56-Settings!$B$5</f>
        <v/>
      </c>
      <c r="X56">
        <f>0.5*(R56+W56)</f>
        <v/>
      </c>
      <c r="Y56">
        <f>AVERAGE(L37:L56)</f>
        <v/>
      </c>
      <c r="Z56">
        <f>AVERAGE(M37:M56)</f>
        <v/>
      </c>
      <c r="AA56">
        <f>AVERAGE(R37:R56)</f>
        <v/>
      </c>
      <c r="AB56">
        <f>AVERAGE(W37:W56)</f>
        <v/>
      </c>
      <c r="AC56">
        <f>AVERAGE(X37:X56)</f>
        <v/>
      </c>
      <c r="AD56">
        <f>0.5*Y56+0.5*AA56</f>
        <v/>
      </c>
      <c r="AE56">
        <f>Settings!$B$3+Settings!$B$4*Z56</f>
        <v/>
      </c>
      <c r="AF56">
        <f>AC56</f>
        <v/>
      </c>
      <c r="AG56">
        <f>0.5*Y56+0.5*AC56</f>
        <v/>
      </c>
      <c r="AH56">
        <f>(AA56+AB56+Y56)/3</f>
        <v/>
      </c>
      <c r="AI56">
        <f>0.7*AA56+0.3*Y56</f>
        <v/>
      </c>
    </row>
    <row r="57">
      <c r="A57" t="inlineStr">
        <is>
          <t>1998-10-01</t>
        </is>
      </c>
      <c r="B57" t="n">
        <v>585977.0615869962</v>
      </c>
      <c r="C57" t="n">
        <v>321391.4573836981</v>
      </c>
      <c r="D57" t="n">
        <v>66.22399487786444</v>
      </c>
      <c r="E57" t="n">
        <v>-0.4077356719471128</v>
      </c>
      <c r="F57" t="n">
        <v>0.0745731979028446</v>
      </c>
      <c r="G57" t="n">
        <v>0.2956231073455316</v>
      </c>
      <c r="H57" t="n">
        <v>1.678714053863142</v>
      </c>
      <c r="I57" t="n">
        <v>85.65887006843461</v>
      </c>
      <c r="J57" t="n">
        <v>1328.103592374351</v>
      </c>
      <c r="K57" t="n">
        <v>823.0042371330139</v>
      </c>
      <c r="L57" t="n">
        <v>0.4032143755794095</v>
      </c>
      <c r="M57" t="n">
        <v>-0.3164187391539599</v>
      </c>
      <c r="N57" t="n">
        <v>-0.4077356719471128</v>
      </c>
      <c r="O57" t="n">
        <v>-0.4077356719471128</v>
      </c>
      <c r="P57" t="n">
        <v>-0.4549519561157435</v>
      </c>
      <c r="Q57" t="n">
        <v>0.007107019684460081</v>
      </c>
      <c r="R57" t="n">
        <v>0.5295251540185881</v>
      </c>
      <c r="S57" t="n">
        <v>2.133666009978885</v>
      </c>
      <c r="T57" t="n">
        <v>1.671607034178682</v>
      </c>
      <c r="U57" t="n">
        <v>0.7505750634612751</v>
      </c>
      <c r="V57">
        <f>T57-R57</f>
        <v/>
      </c>
      <c r="W57">
        <f>T57-Settings!$B$5</f>
        <v/>
      </c>
      <c r="X57">
        <f>0.5*(R57+W57)</f>
        <v/>
      </c>
      <c r="Y57">
        <f>AVERAGE(L38:L57)</f>
        <v/>
      </c>
      <c r="Z57">
        <f>AVERAGE(M38:M57)</f>
        <v/>
      </c>
      <c r="AA57">
        <f>AVERAGE(R38:R57)</f>
        <v/>
      </c>
      <c r="AB57">
        <f>AVERAGE(W38:W57)</f>
        <v/>
      </c>
      <c r="AC57">
        <f>AVERAGE(X38:X57)</f>
        <v/>
      </c>
      <c r="AD57">
        <f>0.5*Y57+0.5*AA57</f>
        <v/>
      </c>
      <c r="AE57">
        <f>Settings!$B$3+Settings!$B$4*Z57</f>
        <v/>
      </c>
      <c r="AF57">
        <f>AC57</f>
        <v/>
      </c>
      <c r="AG57">
        <f>0.5*Y57+0.5*AC57</f>
        <v/>
      </c>
      <c r="AH57">
        <f>(AA57+AB57+Y57)/3</f>
        <v/>
      </c>
      <c r="AI57">
        <f>0.7*AA57+0.3*Y57</f>
        <v/>
      </c>
    </row>
    <row r="58">
      <c r="A58" t="inlineStr">
        <is>
          <t>1999-01-01</t>
        </is>
      </c>
      <c r="B58" t="n">
        <v>587130.640581316</v>
      </c>
      <c r="C58" t="n">
        <v>322632.8261259386</v>
      </c>
      <c r="D58" t="n">
        <v>66.09492056552769</v>
      </c>
      <c r="E58" t="n">
        <v>-0.5359225505567543</v>
      </c>
      <c r="F58" t="n">
        <v>0.1353424820449525</v>
      </c>
      <c r="G58" t="n">
        <v>0.3042901386237333</v>
      </c>
      <c r="H58" t="n">
        <v>1.934110552752021</v>
      </c>
      <c r="I58" t="n">
        <v>85.55226040914346</v>
      </c>
      <c r="J58" t="n">
        <v>1328.300263040483</v>
      </c>
      <c r="K58" t="n">
        <v>823.5142772310209</v>
      </c>
      <c r="L58" t="n">
        <v>0.7866826645276888</v>
      </c>
      <c r="M58" t="n">
        <v>2.040160392027701</v>
      </c>
      <c r="N58" t="n">
        <v>-0.5359225505567543</v>
      </c>
      <c r="O58" t="n">
        <v>-0.5359225505567543</v>
      </c>
      <c r="P58" t="n">
        <v>-0.2373872140581227</v>
      </c>
      <c r="Q58" t="n">
        <v>-0.03543788158949939</v>
      </c>
      <c r="R58" t="n">
        <v>0.3727296961030752</v>
      </c>
      <c r="S58" t="n">
        <v>2.171497766810144</v>
      </c>
      <c r="T58" t="n">
        <v>1.969548434341521</v>
      </c>
      <c r="U58" t="n">
        <v>0.541677352681856</v>
      </c>
      <c r="V58">
        <f>T58-R58</f>
        <v/>
      </c>
      <c r="W58">
        <f>T58-Settings!$B$5</f>
        <v/>
      </c>
      <c r="X58">
        <f>0.5*(R58+W58)</f>
        <v/>
      </c>
      <c r="Y58">
        <f>AVERAGE(L39:L58)</f>
        <v/>
      </c>
      <c r="Z58">
        <f>AVERAGE(M39:M58)</f>
        <v/>
      </c>
      <c r="AA58">
        <f>AVERAGE(R39:R58)</f>
        <v/>
      </c>
      <c r="AB58">
        <f>AVERAGE(W39:W58)</f>
        <v/>
      </c>
      <c r="AC58">
        <f>AVERAGE(X39:X58)</f>
        <v/>
      </c>
      <c r="AD58">
        <f>0.5*Y58+0.5*AA58</f>
        <v/>
      </c>
      <c r="AE58">
        <f>Settings!$B$3+Settings!$B$4*Z58</f>
        <v/>
      </c>
      <c r="AF58">
        <f>AC58</f>
        <v/>
      </c>
      <c r="AG58">
        <f>0.5*Y58+0.5*AC58</f>
        <v/>
      </c>
      <c r="AH58">
        <f>(AA58+AB58+Y58)/3</f>
        <v/>
      </c>
      <c r="AI58">
        <f>0.7*AA58+0.3*Y58</f>
        <v/>
      </c>
    </row>
    <row r="59">
      <c r="A59" t="inlineStr">
        <is>
          <t>1999-04-01</t>
        </is>
      </c>
      <c r="B59" t="n">
        <v>591425.9979675853</v>
      </c>
      <c r="C59" t="n">
        <v>325599.9735525298</v>
      </c>
      <c r="D59" t="n">
        <v>66.00604290424751</v>
      </c>
      <c r="E59" t="n">
        <v>-0.6936990736732007</v>
      </c>
      <c r="F59" t="n">
        <v>0.1331332985192742</v>
      </c>
      <c r="G59" t="n">
        <v>0.3327707589956262</v>
      </c>
      <c r="H59" t="n">
        <v>1.911036566740639</v>
      </c>
      <c r="I59" t="n">
        <v>85.62369470641087</v>
      </c>
      <c r="J59" t="n">
        <v>1329.029184547418</v>
      </c>
      <c r="K59" t="n">
        <v>824.3462779722142</v>
      </c>
      <c r="L59" t="n">
        <v>2.915686027741685</v>
      </c>
      <c r="M59" t="n">
        <v>3.328002964773532</v>
      </c>
      <c r="N59" t="n">
        <v>-0.6936990736732007</v>
      </c>
      <c r="O59" t="n">
        <v>-0.6936990736732007</v>
      </c>
      <c r="P59" t="n">
        <v>-0.4588867210969955</v>
      </c>
      <c r="Q59" t="n">
        <v>-0.08998934033167673</v>
      </c>
      <c r="R59" t="n">
        <v>0.5920200196162697</v>
      </c>
      <c r="S59" t="n">
        <v>2.369923287837634</v>
      </c>
      <c r="T59" t="n">
        <v>2.001025907072316</v>
      </c>
      <c r="U59" t="n">
        <v>0.7916574800926217</v>
      </c>
      <c r="V59">
        <f>T59-R59</f>
        <v/>
      </c>
      <c r="W59">
        <f>T59-Settings!$B$5</f>
        <v/>
      </c>
      <c r="X59">
        <f>0.5*(R59+W59)</f>
        <v/>
      </c>
      <c r="Y59">
        <f>AVERAGE(L40:L59)</f>
        <v/>
      </c>
      <c r="Z59">
        <f>AVERAGE(M40:M59)</f>
        <v/>
      </c>
      <c r="AA59">
        <f>AVERAGE(R40:R59)</f>
        <v/>
      </c>
      <c r="AB59">
        <f>AVERAGE(W40:W59)</f>
        <v/>
      </c>
      <c r="AC59">
        <f>AVERAGE(X40:X59)</f>
        <v/>
      </c>
      <c r="AD59">
        <f>0.5*Y59+0.5*AA59</f>
        <v/>
      </c>
      <c r="AE59">
        <f>Settings!$B$3+Settings!$B$4*Z59</f>
        <v/>
      </c>
      <c r="AF59">
        <f>AC59</f>
        <v/>
      </c>
      <c r="AG59">
        <f>0.5*Y59+0.5*AC59</f>
        <v/>
      </c>
      <c r="AH59">
        <f>(AA59+AB59+Y59)/3</f>
        <v/>
      </c>
      <c r="AI59">
        <f>0.7*AA59+0.3*Y59</f>
        <v/>
      </c>
    </row>
    <row r="60">
      <c r="A60" t="inlineStr">
        <is>
          <t>1999-07-01</t>
        </is>
      </c>
      <c r="B60" t="n">
        <v>591639.6433741207</v>
      </c>
      <c r="C60" t="n">
        <v>325631.7141957054</v>
      </c>
      <c r="D60" t="n">
        <v>65.97830820505314</v>
      </c>
      <c r="E60" t="n">
        <v>-0.5405568626425068</v>
      </c>
      <c r="F60" t="n">
        <v>0.119251896882805</v>
      </c>
      <c r="G60" t="n">
        <v>0.3129311964519103</v>
      </c>
      <c r="H60" t="n">
        <v>1.908909885525342</v>
      </c>
      <c r="I60" t="n">
        <v>85.58492831726858</v>
      </c>
      <c r="J60" t="n">
        <v>1329.065301800999</v>
      </c>
      <c r="K60" t="n">
        <v>824.4013114102765</v>
      </c>
      <c r="L60" t="n">
        <v>0.1444690143252956</v>
      </c>
      <c r="M60" t="n">
        <v>0.2201337522492395</v>
      </c>
      <c r="N60" t="n">
        <v>-0.5405568626425068</v>
      </c>
      <c r="O60" t="n">
        <v>-0.5405568626425068</v>
      </c>
      <c r="P60" t="n">
        <v>-0.5444785397048937</v>
      </c>
      <c r="Q60" t="n">
        <v>-0.1303458917383586</v>
      </c>
      <c r="R60" t="n">
        <v>0.6637304365876987</v>
      </c>
      <c r="S60" t="n">
        <v>2.453388425230235</v>
      </c>
      <c r="T60" t="n">
        <v>2.0392557772637</v>
      </c>
      <c r="U60" t="n">
        <v>0.857409736156804</v>
      </c>
      <c r="V60">
        <f>T60-R60</f>
        <v/>
      </c>
      <c r="W60">
        <f>T60-Settings!$B$5</f>
        <v/>
      </c>
      <c r="X60">
        <f>0.5*(R60+W60)</f>
        <v/>
      </c>
      <c r="Y60">
        <f>AVERAGE(L41:L60)</f>
        <v/>
      </c>
      <c r="Z60">
        <f>AVERAGE(M41:M60)</f>
        <v/>
      </c>
      <c r="AA60">
        <f>AVERAGE(R41:R60)</f>
        <v/>
      </c>
      <c r="AB60">
        <f>AVERAGE(W41:W60)</f>
        <v/>
      </c>
      <c r="AC60">
        <f>AVERAGE(X41:X60)</f>
        <v/>
      </c>
      <c r="AD60">
        <f>0.5*Y60+0.5*AA60</f>
        <v/>
      </c>
      <c r="AE60">
        <f>Settings!$B$3+Settings!$B$4*Z60</f>
        <v/>
      </c>
      <c r="AF60">
        <f>AC60</f>
        <v/>
      </c>
      <c r="AG60">
        <f>0.5*Y60+0.5*AC60</f>
        <v/>
      </c>
      <c r="AH60">
        <f>(AA60+AB60+Y60)/3</f>
        <v/>
      </c>
      <c r="AI60">
        <f>0.7*AA60+0.3*Y60</f>
        <v/>
      </c>
    </row>
    <row r="61">
      <c r="A61" t="inlineStr">
        <is>
          <t>1999-10-01</t>
        </is>
      </c>
      <c r="B61" t="n">
        <v>595290.3819611372</v>
      </c>
      <c r="C61" t="n">
        <v>325992.6288949098</v>
      </c>
      <c r="D61" t="n">
        <v>65.95476744480447</v>
      </c>
      <c r="E61" t="n">
        <v>-0.4073692333735885</v>
      </c>
      <c r="F61" t="n">
        <v>0.1278266721375631</v>
      </c>
      <c r="G61" t="n">
        <v>0.2913499444144392</v>
      </c>
      <c r="H61" t="n">
        <v>1.925028426484541</v>
      </c>
      <c r="I61" t="n">
        <v>85.53009629436863</v>
      </c>
      <c r="J61" t="n">
        <v>1329.680460238596</v>
      </c>
      <c r="K61" t="n">
        <v>824.5761731894461</v>
      </c>
      <c r="L61" t="n">
        <v>2.460633750387387</v>
      </c>
      <c r="M61" t="n">
        <v>0.6994471166781295</v>
      </c>
      <c r="N61" t="n">
        <v>-0.4073692333735885</v>
      </c>
      <c r="O61" t="n">
        <v>-0.4073692333735885</v>
      </c>
      <c r="P61" t="n">
        <v>-0.5443869300615126</v>
      </c>
      <c r="Q61" t="n">
        <v>-0.164929134424175</v>
      </c>
      <c r="R61" t="n">
        <v>0.6722136021990757</v>
      </c>
      <c r="S61" t="n">
        <v>2.469415356546054</v>
      </c>
      <c r="T61" t="n">
        <v>2.089957560908716</v>
      </c>
      <c r="U61" t="n">
        <v>0.8357368744759518</v>
      </c>
      <c r="V61">
        <f>T61-R61</f>
        <v/>
      </c>
      <c r="W61">
        <f>T61-Settings!$B$5</f>
        <v/>
      </c>
      <c r="X61">
        <f>0.5*(R61+W61)</f>
        <v/>
      </c>
      <c r="Y61">
        <f>AVERAGE(L42:L61)</f>
        <v/>
      </c>
      <c r="Z61">
        <f>AVERAGE(M42:M61)</f>
        <v/>
      </c>
      <c r="AA61">
        <f>AVERAGE(R42:R61)</f>
        <v/>
      </c>
      <c r="AB61">
        <f>AVERAGE(W42:W61)</f>
        <v/>
      </c>
      <c r="AC61">
        <f>AVERAGE(X42:X61)</f>
        <v/>
      </c>
      <c r="AD61">
        <f>0.5*Y61+0.5*AA61</f>
        <v/>
      </c>
      <c r="AE61">
        <f>Settings!$B$3+Settings!$B$4*Z61</f>
        <v/>
      </c>
      <c r="AF61">
        <f>AC61</f>
        <v/>
      </c>
      <c r="AG61">
        <f>0.5*Y61+0.5*AC61</f>
        <v/>
      </c>
      <c r="AH61">
        <f>(AA61+AB61+Y61)/3</f>
        <v/>
      </c>
      <c r="AI61">
        <f>0.7*AA61+0.3*Y61</f>
        <v/>
      </c>
    </row>
    <row r="62">
      <c r="A62" t="inlineStr">
        <is>
          <t>2000-01-01</t>
        </is>
      </c>
      <c r="B62" t="n">
        <v>594461.5457752493</v>
      </c>
      <c r="C62" t="n">
        <v>327072.2155268237</v>
      </c>
      <c r="D62" t="n">
        <v>65.91897728288518</v>
      </c>
      <c r="E62" t="n">
        <v>-0.2665528246400329</v>
      </c>
      <c r="F62" t="n">
        <v>0.1148209000404329</v>
      </c>
      <c r="G62" t="n">
        <v>0.2679165616043724</v>
      </c>
      <c r="H62" t="n">
        <v>1.937376883991451</v>
      </c>
      <c r="I62" t="n">
        <v>85.46188382709862</v>
      </c>
      <c r="J62" t="n">
        <v>1329.541130971604</v>
      </c>
      <c r="K62" t="n">
        <v>824.9865794735831</v>
      </c>
      <c r="L62" t="n">
        <v>-0.557317067969052</v>
      </c>
      <c r="M62" t="n">
        <v>1.6416251365481</v>
      </c>
      <c r="N62" t="n">
        <v>-0.2665528246400329</v>
      </c>
      <c r="O62" t="n">
        <v>-0.2665528246400329</v>
      </c>
      <c r="P62" t="n">
        <v>-0.4770444985823322</v>
      </c>
      <c r="Q62" t="n">
        <v>-0.1936989887563789</v>
      </c>
      <c r="R62" t="n">
        <v>0.5918653986227651</v>
      </c>
      <c r="S62" t="n">
        <v>2.414421382573783</v>
      </c>
      <c r="T62" t="n">
        <v>2.13107587274783</v>
      </c>
      <c r="U62" t="n">
        <v>0.7449610601867046</v>
      </c>
      <c r="V62">
        <f>T62-R62</f>
        <v/>
      </c>
      <c r="W62">
        <f>T62-Settings!$B$5</f>
        <v/>
      </c>
      <c r="X62">
        <f>0.5*(R62+W62)</f>
        <v/>
      </c>
      <c r="Y62">
        <f>AVERAGE(L43:L62)</f>
        <v/>
      </c>
      <c r="Z62">
        <f>AVERAGE(M43:M62)</f>
        <v/>
      </c>
      <c r="AA62">
        <f>AVERAGE(R43:R62)</f>
        <v/>
      </c>
      <c r="AB62">
        <f>AVERAGE(W43:W62)</f>
        <v/>
      </c>
      <c r="AC62">
        <f>AVERAGE(X43:X62)</f>
        <v/>
      </c>
      <c r="AD62">
        <f>0.5*Y62+0.5*AA62</f>
        <v/>
      </c>
      <c r="AE62">
        <f>Settings!$B$3+Settings!$B$4*Z62</f>
        <v/>
      </c>
      <c r="AF62">
        <f>AC62</f>
        <v/>
      </c>
      <c r="AG62">
        <f>0.5*Y62+0.5*AC62</f>
        <v/>
      </c>
      <c r="AH62">
        <f>(AA62+AB62+Y62)/3</f>
        <v/>
      </c>
      <c r="AI62">
        <f>0.7*AA62+0.3*Y62</f>
        <v/>
      </c>
    </row>
    <row r="63">
      <c r="A63" t="inlineStr">
        <is>
          <t>2000-04-01</t>
        </is>
      </c>
      <c r="B63" t="n">
        <v>596344.0789062248</v>
      </c>
      <c r="C63" t="n">
        <v>328288.8058641988</v>
      </c>
      <c r="D63" t="n">
        <v>65.79979985100505</v>
      </c>
      <c r="E63" t="n">
        <v>-0.3129500441800536</v>
      </c>
      <c r="F63" t="n">
        <v>0.2017536651365533</v>
      </c>
      <c r="G63" t="n">
        <v>0.4223261361947932</v>
      </c>
      <c r="H63" t="n">
        <v>2.096518626121384</v>
      </c>
      <c r="I63" t="n">
        <v>85.43203969907121</v>
      </c>
      <c r="J63" t="n">
        <v>1329.857309306715</v>
      </c>
      <c r="K63" t="n">
        <v>825.3927803076749</v>
      </c>
      <c r="L63" t="n">
        <v>1.26471334044345</v>
      </c>
      <c r="M63" t="n">
        <v>1.624803336367222</v>
      </c>
      <c r="N63" t="n">
        <v>-0.3129500441800536</v>
      </c>
      <c r="O63" t="n">
        <v>-0.3129500441800536</v>
      </c>
      <c r="P63" t="n">
        <v>-0.3818572412090455</v>
      </c>
      <c r="Q63" t="n">
        <v>-0.2223996902261828</v>
      </c>
      <c r="R63" t="n">
        <v>0.5836109063455988</v>
      </c>
      <c r="S63" t="n">
        <v>2.478375867330429</v>
      </c>
      <c r="T63" t="n">
        <v>2.318918316347566</v>
      </c>
      <c r="U63" t="n">
        <v>0.8041833774038387</v>
      </c>
      <c r="V63">
        <f>T63-R63</f>
        <v/>
      </c>
      <c r="W63">
        <f>T63-Settings!$B$5</f>
        <v/>
      </c>
      <c r="X63">
        <f>0.5*(R63+W63)</f>
        <v/>
      </c>
      <c r="Y63">
        <f>AVERAGE(L44:L63)</f>
        <v/>
      </c>
      <c r="Z63">
        <f>AVERAGE(M44:M63)</f>
        <v/>
      </c>
      <c r="AA63">
        <f>AVERAGE(R44:R63)</f>
        <v/>
      </c>
      <c r="AB63">
        <f>AVERAGE(W44:W63)</f>
        <v/>
      </c>
      <c r="AC63">
        <f>AVERAGE(X44:X63)</f>
        <v/>
      </c>
      <c r="AD63">
        <f>0.5*Y63+0.5*AA63</f>
        <v/>
      </c>
      <c r="AE63">
        <f>Settings!$B$3+Settings!$B$4*Z63</f>
        <v/>
      </c>
      <c r="AF63">
        <f>AC63</f>
        <v/>
      </c>
      <c r="AG63">
        <f>0.5*Y63+0.5*AC63</f>
        <v/>
      </c>
      <c r="AH63">
        <f>(AA63+AB63+Y63)/3</f>
        <v/>
      </c>
      <c r="AI63">
        <f>0.7*AA63+0.3*Y63</f>
        <v/>
      </c>
    </row>
    <row r="64">
      <c r="A64" t="inlineStr">
        <is>
          <t>2000-07-01</t>
        </is>
      </c>
      <c r="B64" t="n">
        <v>599481.0370013684</v>
      </c>
      <c r="C64" t="n">
        <v>333051.5350794232</v>
      </c>
      <c r="D64" t="n">
        <v>65.63664934398186</v>
      </c>
      <c r="E64" t="n">
        <v>-0.5191805473787765</v>
      </c>
      <c r="F64" t="n">
        <v>0.09564529144737451</v>
      </c>
      <c r="G64" t="n">
        <v>0.2851167199808351</v>
      </c>
      <c r="H64" t="n">
        <v>1.784534801355619</v>
      </c>
      <c r="I64" t="n">
        <v>85.42311687115485</v>
      </c>
      <c r="J64" t="n">
        <v>1330.381962159224</v>
      </c>
      <c r="K64" t="n">
        <v>826.84357634642</v>
      </c>
      <c r="L64" t="n">
        <v>2.098611410036938</v>
      </c>
      <c r="M64" t="n">
        <v>5.803184154980499</v>
      </c>
      <c r="N64" t="n">
        <v>-0.5191805473787765</v>
      </c>
      <c r="O64" t="n">
        <v>-0.5191805473787765</v>
      </c>
      <c r="P64" t="n">
        <v>-0.3765131623931129</v>
      </c>
      <c r="Q64" t="n">
        <v>-0.2642432204223223</v>
      </c>
      <c r="R64" t="n">
        <v>0.4721584538404874</v>
      </c>
      <c r="S64" t="n">
        <v>2.161047963748731</v>
      </c>
      <c r="T64" t="n">
        <v>2.048778021777941</v>
      </c>
      <c r="U64" t="n">
        <v>0.6616298823739479</v>
      </c>
      <c r="V64">
        <f>T64-R64</f>
        <v/>
      </c>
      <c r="W64">
        <f>T64-Settings!$B$5</f>
        <v/>
      </c>
      <c r="X64">
        <f>0.5*(R64+W64)</f>
        <v/>
      </c>
      <c r="Y64">
        <f>AVERAGE(L45:L64)</f>
        <v/>
      </c>
      <c r="Z64">
        <f>AVERAGE(M45:M64)</f>
        <v/>
      </c>
      <c r="AA64">
        <f>AVERAGE(R45:R64)</f>
        <v/>
      </c>
      <c r="AB64">
        <f>AVERAGE(W45:W64)</f>
        <v/>
      </c>
      <c r="AC64">
        <f>AVERAGE(X45:X64)</f>
        <v/>
      </c>
      <c r="AD64">
        <f>0.5*Y64+0.5*AA64</f>
        <v/>
      </c>
      <c r="AE64">
        <f>Settings!$B$3+Settings!$B$4*Z64</f>
        <v/>
      </c>
      <c r="AF64">
        <f>AC64</f>
        <v/>
      </c>
      <c r="AG64">
        <f>0.5*Y64+0.5*AC64</f>
        <v/>
      </c>
      <c r="AH64">
        <f>(AA64+AB64+Y64)/3</f>
        <v/>
      </c>
      <c r="AI64">
        <f>0.7*AA64+0.3*Y64</f>
        <v/>
      </c>
    </row>
    <row r="65">
      <c r="A65" t="inlineStr">
        <is>
          <t>2000-10-01</t>
        </is>
      </c>
      <c r="B65" t="n">
        <v>603791.4741395321</v>
      </c>
      <c r="C65" t="n">
        <v>334587.7826290153</v>
      </c>
      <c r="D65" t="n">
        <v>65.59011405156784</v>
      </c>
      <c r="E65" t="n">
        <v>-0.5544181166854556</v>
      </c>
      <c r="F65" t="n">
        <v>0.0846458390832711</v>
      </c>
      <c r="G65" t="n">
        <v>0.2539774306338513</v>
      </c>
      <c r="H65" t="n">
        <v>1.767448679793192</v>
      </c>
      <c r="I65" t="n">
        <v>85.45212972316459</v>
      </c>
      <c r="J65" t="n">
        <v>1331.098417581655</v>
      </c>
      <c r="K65" t="n">
        <v>827.2698220636967</v>
      </c>
      <c r="L65" t="n">
        <v>2.865821689722907</v>
      </c>
      <c r="M65" t="n">
        <v>1.704982869106516</v>
      </c>
      <c r="N65" t="n">
        <v>-0.5544181166854556</v>
      </c>
      <c r="O65" t="n">
        <v>-0.5544181166854556</v>
      </c>
      <c r="P65" t="n">
        <v>-0.4132753832210797</v>
      </c>
      <c r="Q65" t="n">
        <v>-0.3159156688627731</v>
      </c>
      <c r="R65" t="n">
        <v>0.4979212223043508</v>
      </c>
      <c r="S65" t="n">
        <v>2.180724063014271</v>
      </c>
      <c r="T65" t="n">
        <v>2.083364348655965</v>
      </c>
      <c r="U65" t="n">
        <v>0.667252813854931</v>
      </c>
      <c r="V65">
        <f>T65-R65</f>
        <v/>
      </c>
      <c r="W65">
        <f>T65-Settings!$B$5</f>
        <v/>
      </c>
      <c r="X65">
        <f>0.5*(R65+W65)</f>
        <v/>
      </c>
      <c r="Y65">
        <f>AVERAGE(L46:L65)</f>
        <v/>
      </c>
      <c r="Z65">
        <f>AVERAGE(M46:M65)</f>
        <v/>
      </c>
      <c r="AA65">
        <f>AVERAGE(R46:R65)</f>
        <v/>
      </c>
      <c r="AB65">
        <f>AVERAGE(W46:W65)</f>
        <v/>
      </c>
      <c r="AC65">
        <f>AVERAGE(X46:X65)</f>
        <v/>
      </c>
      <c r="AD65">
        <f>0.5*Y65+0.5*AA65</f>
        <v/>
      </c>
      <c r="AE65">
        <f>Settings!$B$3+Settings!$B$4*Z65</f>
        <v/>
      </c>
      <c r="AF65">
        <f>AC65</f>
        <v/>
      </c>
      <c r="AG65">
        <f>0.5*Y65+0.5*AC65</f>
        <v/>
      </c>
      <c r="AH65">
        <f>(AA65+AB65+Y65)/3</f>
        <v/>
      </c>
      <c r="AI65">
        <f>0.7*AA65+0.3*Y65</f>
        <v/>
      </c>
    </row>
    <row r="66">
      <c r="A66" t="inlineStr">
        <is>
          <t>2001-01-01</t>
        </is>
      </c>
      <c r="B66" t="n">
        <v>608772.6173021329</v>
      </c>
      <c r="C66" t="n">
        <v>333684.138771872</v>
      </c>
      <c r="D66" t="n">
        <v>65.51775352741853</v>
      </c>
      <c r="E66" t="n">
        <v>-0.6105218826579722</v>
      </c>
      <c r="F66" t="n">
        <v>0.0623236209821311</v>
      </c>
      <c r="G66" t="n">
        <v>0.2594382528744312</v>
      </c>
      <c r="H66" t="n">
        <v>1.752991235193393</v>
      </c>
      <c r="I66" t="n">
        <v>85.35221874162994</v>
      </c>
      <c r="J66" t="n">
        <v>1331.920010636782</v>
      </c>
      <c r="K66" t="n">
        <v>827.1163687506233</v>
      </c>
      <c r="L66" t="n">
        <v>3.286372220510202</v>
      </c>
      <c r="M66" t="n">
        <v>-0.613813252293312</v>
      </c>
      <c r="N66" t="n">
        <v>-0.6105218826579722</v>
      </c>
      <c r="O66" t="n">
        <v>-0.6105218826579722</v>
      </c>
      <c r="P66" t="n">
        <v>-0.4992676477255645</v>
      </c>
      <c r="Q66" t="n">
        <v>-0.3728476348171074</v>
      </c>
      <c r="R66" t="n">
        <v>0.5615912687076956</v>
      </c>
      <c r="S66" t="n">
        <v>2.252258882918957</v>
      </c>
      <c r="T66" t="n">
        <v>2.1258388700105</v>
      </c>
      <c r="U66" t="n">
        <v>0.7587059005999957</v>
      </c>
      <c r="V66">
        <f>T66-R66</f>
        <v/>
      </c>
      <c r="W66">
        <f>T66-Settings!$B$5</f>
        <v/>
      </c>
      <c r="X66">
        <f>0.5*(R66+W66)</f>
        <v/>
      </c>
      <c r="Y66">
        <f>AVERAGE(L47:L66)</f>
        <v/>
      </c>
      <c r="Z66">
        <f>AVERAGE(M47:M66)</f>
        <v/>
      </c>
      <c r="AA66">
        <f>AVERAGE(R47:R66)</f>
        <v/>
      </c>
      <c r="AB66">
        <f>AVERAGE(W47:W66)</f>
        <v/>
      </c>
      <c r="AC66">
        <f>AVERAGE(X47:X66)</f>
        <v/>
      </c>
      <c r="AD66">
        <f>0.5*Y66+0.5*AA66</f>
        <v/>
      </c>
      <c r="AE66">
        <f>Settings!$B$3+Settings!$B$4*Z66</f>
        <v/>
      </c>
      <c r="AF66">
        <f>AC66</f>
        <v/>
      </c>
      <c r="AG66">
        <f>0.5*Y66+0.5*AC66</f>
        <v/>
      </c>
      <c r="AH66">
        <f>(AA66+AB66+Y66)/3</f>
        <v/>
      </c>
      <c r="AI66">
        <f>0.7*AA66+0.3*Y66</f>
        <v/>
      </c>
    </row>
    <row r="67">
      <c r="A67" t="inlineStr">
        <is>
          <t>2001-04-01</t>
        </is>
      </c>
      <c r="B67" t="n">
        <v>614361.8627076151</v>
      </c>
      <c r="C67" t="n">
        <v>337510.8214280506</v>
      </c>
      <c r="D67" t="n">
        <v>65.49119403987466</v>
      </c>
      <c r="E67" t="n">
        <v>-0.4701105084872989</v>
      </c>
      <c r="F67" t="n">
        <v>0.0483868664711081</v>
      </c>
      <c r="G67" t="n">
        <v>0.2822274321915872</v>
      </c>
      <c r="H67" t="n">
        <v>1.877278533187979</v>
      </c>
      <c r="I67" t="n">
        <v>85.39687561243099</v>
      </c>
      <c r="J67" t="n">
        <v>1332.833938647304</v>
      </c>
      <c r="K67" t="n">
        <v>828.2043337480486</v>
      </c>
      <c r="L67" t="n">
        <v>3.655712042085725</v>
      </c>
      <c r="M67" t="n">
        <v>4.351859989701097</v>
      </c>
      <c r="N67" t="n">
        <v>-0.4701105084872989</v>
      </c>
      <c r="O67" t="n">
        <v>-0.4701105084872989</v>
      </c>
      <c r="P67" t="n">
        <v>-0.5385577638023759</v>
      </c>
      <c r="Q67" t="n">
        <v>-0.4227494128494257</v>
      </c>
      <c r="R67" t="n">
        <v>0.586944630273484</v>
      </c>
      <c r="S67" t="n">
        <v>2.415836296990355</v>
      </c>
      <c r="T67" t="n">
        <v>2.300027946037404</v>
      </c>
      <c r="U67" t="n">
        <v>0.820785195993963</v>
      </c>
      <c r="V67">
        <f>T67-R67</f>
        <v/>
      </c>
      <c r="W67">
        <f>T67-Settings!$B$5</f>
        <v/>
      </c>
      <c r="X67">
        <f>0.5*(R67+W67)</f>
        <v/>
      </c>
      <c r="Y67">
        <f>AVERAGE(L48:L67)</f>
        <v/>
      </c>
      <c r="Z67">
        <f>AVERAGE(M48:M67)</f>
        <v/>
      </c>
      <c r="AA67">
        <f>AVERAGE(R48:R67)</f>
        <v/>
      </c>
      <c r="AB67">
        <f>AVERAGE(W48:W67)</f>
        <v/>
      </c>
      <c r="AC67">
        <f>AVERAGE(X48:X67)</f>
        <v/>
      </c>
      <c r="AD67">
        <f>0.5*Y67+0.5*AA67</f>
        <v/>
      </c>
      <c r="AE67">
        <f>Settings!$B$3+Settings!$B$4*Z67</f>
        <v/>
      </c>
      <c r="AF67">
        <f>AC67</f>
        <v/>
      </c>
      <c r="AG67">
        <f>0.5*Y67+0.5*AC67</f>
        <v/>
      </c>
      <c r="AH67">
        <f>(AA67+AB67+Y67)/3</f>
        <v/>
      </c>
      <c r="AI67">
        <f>0.7*AA67+0.3*Y67</f>
        <v/>
      </c>
    </row>
    <row r="68">
      <c r="A68" t="inlineStr">
        <is>
          <t>2001-07-01</t>
        </is>
      </c>
      <c r="B68" t="n">
        <v>618283.2344715372</v>
      </c>
      <c r="C68" t="n">
        <v>338070.9862454758</v>
      </c>
      <c r="D68" t="n">
        <v>65.47655611630462</v>
      </c>
      <c r="E68" t="n">
        <v>-0.2442062287732553</v>
      </c>
      <c r="F68" t="n">
        <v>0.0377764106199462</v>
      </c>
      <c r="G68" t="n">
        <v>0.1693542752587885</v>
      </c>
      <c r="H68" t="n">
        <v>1.962271148484591</v>
      </c>
      <c r="I68" t="n">
        <v>85.28791222355608</v>
      </c>
      <c r="J68" t="n">
        <v>1333.470193965507</v>
      </c>
      <c r="K68" t="n">
        <v>828.497843542141</v>
      </c>
      <c r="L68" t="n">
        <v>2.545021272813756</v>
      </c>
      <c r="M68" t="n">
        <v>1.174039176369661</v>
      </c>
      <c r="N68" t="n">
        <v>-0.2442062287732553</v>
      </c>
      <c r="O68" t="n">
        <v>-0.2442062287732553</v>
      </c>
      <c r="P68" t="n">
        <v>-0.4698141841509955</v>
      </c>
      <c r="Q68" t="n">
        <v>-0.4633910660676547</v>
      </c>
      <c r="R68" t="n">
        <v>0.5075905947709417</v>
      </c>
      <c r="S68" t="n">
        <v>2.432085332635586</v>
      </c>
      <c r="T68" t="n">
        <v>2.425662214552246</v>
      </c>
      <c r="U68" t="n">
        <v>0.639168459409784</v>
      </c>
      <c r="V68">
        <f>T68-R68</f>
        <v/>
      </c>
      <c r="W68">
        <f>T68-Settings!$B$5</f>
        <v/>
      </c>
      <c r="X68">
        <f>0.5*(R68+W68)</f>
        <v/>
      </c>
      <c r="Y68">
        <f>AVERAGE(L49:L68)</f>
        <v/>
      </c>
      <c r="Z68">
        <f>AVERAGE(M49:M68)</f>
        <v/>
      </c>
      <c r="AA68">
        <f>AVERAGE(R49:R68)</f>
        <v/>
      </c>
      <c r="AB68">
        <f>AVERAGE(W49:W68)</f>
        <v/>
      </c>
      <c r="AC68">
        <f>AVERAGE(X49:X68)</f>
        <v/>
      </c>
      <c r="AD68">
        <f>0.5*Y68+0.5*AA68</f>
        <v/>
      </c>
      <c r="AE68">
        <f>Settings!$B$3+Settings!$B$4*Z68</f>
        <v/>
      </c>
      <c r="AF68">
        <f>AC68</f>
        <v/>
      </c>
      <c r="AG68">
        <f>0.5*Y68+0.5*AC68</f>
        <v/>
      </c>
      <c r="AH68">
        <f>(AA68+AB68+Y68)/3</f>
        <v/>
      </c>
      <c r="AI68">
        <f>0.7*AA68+0.3*Y68</f>
        <v/>
      </c>
    </row>
    <row r="69">
      <c r="A69" t="inlineStr">
        <is>
          <t>2001-10-01</t>
        </is>
      </c>
      <c r="B69" t="n">
        <v>622387.7464036449</v>
      </c>
      <c r="C69" t="n">
        <v>341505.3879539969</v>
      </c>
      <c r="D69" t="n">
        <v>65.43425105163487</v>
      </c>
      <c r="E69" t="n">
        <v>-0.2379146402731329</v>
      </c>
      <c r="F69" t="n">
        <v>0.055560134338454</v>
      </c>
      <c r="G69" t="n">
        <v>0.2106609736413543</v>
      </c>
      <c r="H69" t="n">
        <v>1.812426190514503</v>
      </c>
      <c r="I69" t="n">
        <v>85.31479657077806</v>
      </c>
      <c r="J69" t="n">
        <v>1334.13185639977</v>
      </c>
      <c r="K69" t="n">
        <v>829.4770830658321</v>
      </c>
      <c r="L69" t="n">
        <v>2.64664973705203</v>
      </c>
      <c r="M69" t="n">
        <v>3.916958094764141</v>
      </c>
      <c r="N69" t="n">
        <v>-0.2379146402731329</v>
      </c>
      <c r="O69" t="n">
        <v>-0.2379146402731329</v>
      </c>
      <c r="P69" t="n">
        <v>-0.3906883150479148</v>
      </c>
      <c r="Q69" t="n">
        <v>-0.5074632367730367</v>
      </c>
      <c r="R69" t="n">
        <v>0.4462484493863689</v>
      </c>
      <c r="S69" t="n">
        <v>2.203114505562418</v>
      </c>
      <c r="T69" t="n">
        <v>2.31988942728754</v>
      </c>
      <c r="U69" t="n">
        <v>0.6013492886892692</v>
      </c>
      <c r="V69">
        <f>T69-R69</f>
        <v/>
      </c>
      <c r="W69">
        <f>T69-Settings!$B$5</f>
        <v/>
      </c>
      <c r="X69">
        <f>0.5*(R69+W69)</f>
        <v/>
      </c>
      <c r="Y69">
        <f>AVERAGE(L50:L69)</f>
        <v/>
      </c>
      <c r="Z69">
        <f>AVERAGE(M50:M69)</f>
        <v/>
      </c>
      <c r="AA69">
        <f>AVERAGE(R50:R69)</f>
        <v/>
      </c>
      <c r="AB69">
        <f>AVERAGE(W50:W69)</f>
        <v/>
      </c>
      <c r="AC69">
        <f>AVERAGE(X50:X69)</f>
        <v/>
      </c>
      <c r="AD69">
        <f>0.5*Y69+0.5*AA69</f>
        <v/>
      </c>
      <c r="AE69">
        <f>Settings!$B$3+Settings!$B$4*Z69</f>
        <v/>
      </c>
      <c r="AF69">
        <f>AC69</f>
        <v/>
      </c>
      <c r="AG69">
        <f>0.5*Y69+0.5*AC69</f>
        <v/>
      </c>
      <c r="AH69">
        <f>(AA69+AB69+Y69)/3</f>
        <v/>
      </c>
      <c r="AI69">
        <f>0.7*AA69+0.3*Y69</f>
        <v/>
      </c>
    </row>
    <row r="70">
      <c r="A70" t="inlineStr">
        <is>
          <t>2002-01-01</t>
        </is>
      </c>
      <c r="B70" t="n">
        <v>629330.391401515</v>
      </c>
      <c r="C70" t="n">
        <v>346568.9548076984</v>
      </c>
      <c r="D70" t="n">
        <v>65.42248047649807</v>
      </c>
      <c r="E70" t="n">
        <v>-0.1455214563470687</v>
      </c>
      <c r="F70" t="n">
        <v>0.0964659809173964</v>
      </c>
      <c r="G70" t="n">
        <v>0.2687793876605384</v>
      </c>
      <c r="H70" t="n">
        <v>1.646295996501431</v>
      </c>
      <c r="I70" t="n">
        <v>85.3054823877287</v>
      </c>
      <c r="J70" t="n">
        <v>1335.241166232875</v>
      </c>
      <c r="K70" t="n">
        <v>830.9598357317823</v>
      </c>
      <c r="L70" t="n">
        <v>4.437239332419267</v>
      </c>
      <c r="M70" t="n">
        <v>5.931010663800862</v>
      </c>
      <c r="N70" t="n">
        <v>-0.1455214563470687</v>
      </c>
      <c r="O70" t="n">
        <v>-0.1455214563470687</v>
      </c>
      <c r="P70" t="n">
        <v>-0.274438208470189</v>
      </c>
      <c r="Q70" t="n">
        <v>-0.5429334145142434</v>
      </c>
      <c r="R70" t="n">
        <v>0.3709041893875853</v>
      </c>
      <c r="S70" t="n">
        <v>1.92073420497162</v>
      </c>
      <c r="T70" t="n">
        <v>2.189229411015674</v>
      </c>
      <c r="U70" t="n">
        <v>0.5432175961307273</v>
      </c>
      <c r="V70">
        <f>T70-R70</f>
        <v/>
      </c>
      <c r="W70">
        <f>T70-Settings!$B$5</f>
        <v/>
      </c>
      <c r="X70">
        <f>0.5*(R70+W70)</f>
        <v/>
      </c>
      <c r="Y70">
        <f>AVERAGE(L51:L70)</f>
        <v/>
      </c>
      <c r="Z70">
        <f>AVERAGE(M51:M70)</f>
        <v/>
      </c>
      <c r="AA70">
        <f>AVERAGE(R51:R70)</f>
        <v/>
      </c>
      <c r="AB70">
        <f>AVERAGE(W51:W70)</f>
        <v/>
      </c>
      <c r="AC70">
        <f>AVERAGE(X51:X70)</f>
        <v/>
      </c>
      <c r="AD70">
        <f>0.5*Y70+0.5*AA70</f>
        <v/>
      </c>
      <c r="AE70">
        <f>Settings!$B$3+Settings!$B$4*Z70</f>
        <v/>
      </c>
      <c r="AF70">
        <f>AC70</f>
        <v/>
      </c>
      <c r="AG70">
        <f>0.5*Y70+0.5*AC70</f>
        <v/>
      </c>
      <c r="AH70">
        <f>(AA70+AB70+Y70)/3</f>
        <v/>
      </c>
      <c r="AI70">
        <f>0.7*AA70+0.3*Y70</f>
        <v/>
      </c>
    </row>
    <row r="71">
      <c r="A71" t="inlineStr">
        <is>
          <t>2002-04-01</t>
        </is>
      </c>
      <c r="B71" t="n">
        <v>634613.2935591553</v>
      </c>
      <c r="C71" t="n">
        <v>350724.9298505049</v>
      </c>
      <c r="D71" t="n">
        <v>65.38467122828162</v>
      </c>
      <c r="E71" t="n">
        <v>-0.1627845361671844</v>
      </c>
      <c r="F71" t="n">
        <v>0.1167147564248857</v>
      </c>
      <c r="G71" t="n">
        <v>0.3605501224264956</v>
      </c>
      <c r="H71" t="n">
        <v>1.746315470163848</v>
      </c>
      <c r="I71" t="n">
        <v>85.39725650725295</v>
      </c>
      <c r="J71" t="n">
        <v>1336.07711058462</v>
      </c>
      <c r="K71" t="n">
        <v>832.0443544503449</v>
      </c>
      <c r="L71" t="n">
        <v>3.343777406981644</v>
      </c>
      <c r="M71" t="n">
        <v>4.338074874250651</v>
      </c>
      <c r="N71" t="n">
        <v>-0.1627845361671844</v>
      </c>
      <c r="O71" t="n">
        <v>-0.1627845361671844</v>
      </c>
      <c r="P71" t="n">
        <v>-0.1976067153901603</v>
      </c>
      <c r="Q71" t="n">
        <v>-0.4935967124003687</v>
      </c>
      <c r="R71" t="n">
        <v>0.314321471815046</v>
      </c>
      <c r="S71" t="n">
        <v>1.943922185554009</v>
      </c>
      <c r="T71" t="n">
        <v>2.239912182564217</v>
      </c>
      <c r="U71" t="n">
        <v>0.5581568378166559</v>
      </c>
      <c r="V71">
        <f>T71-R71</f>
        <v/>
      </c>
      <c r="W71">
        <f>T71-Settings!$B$5</f>
        <v/>
      </c>
      <c r="X71">
        <f>0.5*(R71+W71)</f>
        <v/>
      </c>
      <c r="Y71">
        <f>AVERAGE(L52:L71)</f>
        <v/>
      </c>
      <c r="Z71">
        <f>AVERAGE(M52:M71)</f>
        <v/>
      </c>
      <c r="AA71">
        <f>AVERAGE(R52:R71)</f>
        <v/>
      </c>
      <c r="AB71">
        <f>AVERAGE(W52:W71)</f>
        <v/>
      </c>
      <c r="AC71">
        <f>AVERAGE(X52:X71)</f>
        <v/>
      </c>
      <c r="AD71">
        <f>0.5*Y71+0.5*AA71</f>
        <v/>
      </c>
      <c r="AE71">
        <f>Settings!$B$3+Settings!$B$4*Z71</f>
        <v/>
      </c>
      <c r="AF71">
        <f>AC71</f>
        <v/>
      </c>
      <c r="AG71">
        <f>0.5*Y71+0.5*AC71</f>
        <v/>
      </c>
      <c r="AH71">
        <f>(AA71+AB71+Y71)/3</f>
        <v/>
      </c>
      <c r="AI71">
        <f>0.7*AA71+0.3*Y71</f>
        <v/>
      </c>
    </row>
    <row r="72">
      <c r="A72" t="inlineStr">
        <is>
          <t>2002-07-01</t>
        </is>
      </c>
      <c r="B72" t="n">
        <v>638050.2718952859</v>
      </c>
      <c r="C72" t="n">
        <v>349905.7177046798</v>
      </c>
      <c r="D72" t="n">
        <v>65.36163036537103</v>
      </c>
      <c r="E72" t="n">
        <v>-0.1756762052136697</v>
      </c>
      <c r="F72" t="n">
        <v>0.1025571029276081</v>
      </c>
      <c r="G72" t="n">
        <v>0.311034712415187</v>
      </c>
      <c r="H72" t="n">
        <v>1.819253430648007</v>
      </c>
      <c r="I72" t="n">
        <v>85.18113421722398</v>
      </c>
      <c r="J72" t="n">
        <v>1336.617235529679</v>
      </c>
      <c r="K72" t="n">
        <v>832.0639039249339</v>
      </c>
      <c r="L72" t="n">
        <v>2.160499780236023</v>
      </c>
      <c r="M72" t="n">
        <v>0.07819789835593838</v>
      </c>
      <c r="N72" t="n">
        <v>-0.1756762052136697</v>
      </c>
      <c r="O72" t="n">
        <v>-0.1756762052136697</v>
      </c>
      <c r="P72" t="n">
        <v>-0.1804742095002639</v>
      </c>
      <c r="Q72" t="n">
        <v>-0.4488426107145422</v>
      </c>
      <c r="R72" t="n">
        <v>0.283031312427872</v>
      </c>
      <c r="S72" t="n">
        <v>1.999727640148271</v>
      </c>
      <c r="T72" t="n">
        <v>2.268096041362549</v>
      </c>
      <c r="U72" t="n">
        <v>0.4915089219154509</v>
      </c>
      <c r="V72">
        <f>T72-R72</f>
        <v/>
      </c>
      <c r="W72">
        <f>T72-Settings!$B$5</f>
        <v/>
      </c>
      <c r="X72">
        <f>0.5*(R72+W72)</f>
        <v/>
      </c>
      <c r="Y72">
        <f>AVERAGE(L53:L72)</f>
        <v/>
      </c>
      <c r="Z72">
        <f>AVERAGE(M53:M72)</f>
        <v/>
      </c>
      <c r="AA72">
        <f>AVERAGE(R53:R72)</f>
        <v/>
      </c>
      <c r="AB72">
        <f>AVERAGE(W53:W72)</f>
        <v/>
      </c>
      <c r="AC72">
        <f>AVERAGE(X53:X72)</f>
        <v/>
      </c>
      <c r="AD72">
        <f>0.5*Y72+0.5*AA72</f>
        <v/>
      </c>
      <c r="AE72">
        <f>Settings!$B$3+Settings!$B$4*Z72</f>
        <v/>
      </c>
      <c r="AF72">
        <f>AC72</f>
        <v/>
      </c>
      <c r="AG72">
        <f>0.5*Y72+0.5*AC72</f>
        <v/>
      </c>
      <c r="AH72">
        <f>(AA72+AB72+Y72)/3</f>
        <v/>
      </c>
      <c r="AI72">
        <f>0.7*AA72+0.3*Y72</f>
        <v/>
      </c>
    </row>
    <row r="73">
      <c r="A73" t="inlineStr">
        <is>
          <t>2002-10-01</t>
        </is>
      </c>
      <c r="B73" t="n">
        <v>641884.2023524403</v>
      </c>
      <c r="C73" t="n">
        <v>352113.7689907293</v>
      </c>
      <c r="D73" t="n">
        <v>65.27811859407684</v>
      </c>
      <c r="E73" t="n">
        <v>-0.238894807333312</v>
      </c>
      <c r="F73" t="n">
        <v>0.0617232361285143</v>
      </c>
      <c r="G73" t="n">
        <v>0.2847427533423511</v>
      </c>
      <c r="H73" t="n">
        <v>1.805950347378993</v>
      </c>
      <c r="I73" t="n">
        <v>85.2986007283245</v>
      </c>
      <c r="J73" t="n">
        <v>1337.21631962359</v>
      </c>
      <c r="K73" t="n">
        <v>832.5551559479736</v>
      </c>
      <c r="L73" t="n">
        <v>2.396336375643841</v>
      </c>
      <c r="M73" t="n">
        <v>1.965008092158769</v>
      </c>
      <c r="N73" t="n">
        <v>-0.238894807333312</v>
      </c>
      <c r="O73" t="n">
        <v>-0.238894807333312</v>
      </c>
      <c r="P73" t="n">
        <v>-0.1807192512653087</v>
      </c>
      <c r="Q73" t="n">
        <v>-0.3968043671423119</v>
      </c>
      <c r="R73" t="n">
        <v>0.242442487393823</v>
      </c>
      <c r="S73" t="n">
        <v>1.986669598644301</v>
      </c>
      <c r="T73" t="n">
        <v>2.202754714521305</v>
      </c>
      <c r="U73" t="n">
        <v>0.4654620046076598</v>
      </c>
      <c r="V73">
        <f>T73-R73</f>
        <v/>
      </c>
      <c r="W73">
        <f>T73-Settings!$B$5</f>
        <v/>
      </c>
      <c r="X73">
        <f>0.5*(R73+W73)</f>
        <v/>
      </c>
      <c r="Y73">
        <f>AVERAGE(L54:L73)</f>
        <v/>
      </c>
      <c r="Z73">
        <f>AVERAGE(M54:M73)</f>
        <v/>
      </c>
      <c r="AA73">
        <f>AVERAGE(R54:R73)</f>
        <v/>
      </c>
      <c r="AB73">
        <f>AVERAGE(W54:W73)</f>
        <v/>
      </c>
      <c r="AC73">
        <f>AVERAGE(X54:X73)</f>
        <v/>
      </c>
      <c r="AD73">
        <f>0.5*Y73+0.5*AA73</f>
        <v/>
      </c>
      <c r="AE73">
        <f>Settings!$B$3+Settings!$B$4*Z73</f>
        <v/>
      </c>
      <c r="AF73">
        <f>AC73</f>
        <v/>
      </c>
      <c r="AG73">
        <f>0.5*Y73+0.5*AC73</f>
        <v/>
      </c>
      <c r="AH73">
        <f>(AA73+AB73+Y73)/3</f>
        <v/>
      </c>
      <c r="AI73">
        <f>0.7*AA73+0.3*Y73</f>
        <v/>
      </c>
    </row>
    <row r="74">
      <c r="A74" t="inlineStr">
        <is>
          <t>2003-01-01</t>
        </is>
      </c>
      <c r="B74" t="n">
        <v>646169.5250755564</v>
      </c>
      <c r="C74" t="n">
        <v>352353.7826475694</v>
      </c>
      <c r="D74" t="n">
        <v>65.22039202311258</v>
      </c>
      <c r="E74" t="n">
        <v>-0.3093756447738605</v>
      </c>
      <c r="F74" t="n">
        <v>0.1450092282009981</v>
      </c>
      <c r="G74" t="n">
        <v>0.3108044006272113</v>
      </c>
      <c r="H74" t="n">
        <v>1.904170365475526</v>
      </c>
      <c r="I74" t="n">
        <v>85.20749212069937</v>
      </c>
      <c r="J74" t="n">
        <v>1337.88171710555</v>
      </c>
      <c r="K74" t="n">
        <v>832.7301648522811</v>
      </c>
      <c r="L74" t="n">
        <v>2.661589927838577</v>
      </c>
      <c r="M74" t="n">
        <v>0.700035617229787</v>
      </c>
      <c r="N74" t="n">
        <v>-0.3093756447738605</v>
      </c>
      <c r="O74" t="n">
        <v>-0.3093756447738605</v>
      </c>
      <c r="P74" t="n">
        <v>-0.2216827983720067</v>
      </c>
      <c r="Q74" t="n">
        <v>-0.341964073441643</v>
      </c>
      <c r="R74" t="n">
        <v>0.3666920265730048</v>
      </c>
      <c r="S74" t="n">
        <v>2.125853163847532</v>
      </c>
      <c r="T74" t="n">
        <v>2.246134438917168</v>
      </c>
      <c r="U74" t="n">
        <v>0.5324871989992179</v>
      </c>
      <c r="V74">
        <f>T74-R74</f>
        <v/>
      </c>
      <c r="W74">
        <f>T74-Settings!$B$5</f>
        <v/>
      </c>
      <c r="X74">
        <f>0.5*(R74+W74)</f>
        <v/>
      </c>
      <c r="Y74">
        <f>AVERAGE(L55:L74)</f>
        <v/>
      </c>
      <c r="Z74">
        <f>AVERAGE(M55:M74)</f>
        <v/>
      </c>
      <c r="AA74">
        <f>AVERAGE(R55:R74)</f>
        <v/>
      </c>
      <c r="AB74">
        <f>AVERAGE(W55:W74)</f>
        <v/>
      </c>
      <c r="AC74">
        <f>AVERAGE(X55:X74)</f>
        <v/>
      </c>
      <c r="AD74">
        <f>0.5*Y74+0.5*AA74</f>
        <v/>
      </c>
      <c r="AE74">
        <f>Settings!$B$3+Settings!$B$4*Z74</f>
        <v/>
      </c>
      <c r="AF74">
        <f>AC74</f>
        <v/>
      </c>
      <c r="AG74">
        <f>0.5*Y74+0.5*AC74</f>
        <v/>
      </c>
      <c r="AH74">
        <f>(AA74+AB74+Y74)/3</f>
        <v/>
      </c>
      <c r="AI74">
        <f>0.7*AA74+0.3*Y74</f>
        <v/>
      </c>
    </row>
    <row r="75">
      <c r="A75" t="inlineStr">
        <is>
          <t>2003-04-01</t>
        </is>
      </c>
      <c r="B75" t="n">
        <v>653174.1555864098</v>
      </c>
      <c r="C75" t="n">
        <v>359012.1134161142</v>
      </c>
      <c r="D75" t="n">
        <v>65.18111392182287</v>
      </c>
      <c r="E75" t="n">
        <v>-0.3118082905832188</v>
      </c>
      <c r="F75" t="n">
        <v>0.1369706336150473</v>
      </c>
      <c r="G75" t="n">
        <v>0.3033845573569316</v>
      </c>
      <c r="H75" t="n">
        <v>1.940828745913139</v>
      </c>
      <c r="I75" t="n">
        <v>85.19555859590079</v>
      </c>
      <c r="J75" t="n">
        <v>1338.959907344513</v>
      </c>
      <c r="K75" t="n">
        <v>834.6162105686927</v>
      </c>
      <c r="L75" t="n">
        <v>4.312760955852355</v>
      </c>
      <c r="M75" t="n">
        <v>7.54418286564669</v>
      </c>
      <c r="N75" t="n">
        <v>-0.3118082905832188</v>
      </c>
      <c r="O75" t="n">
        <v>-0.3118082905832188</v>
      </c>
      <c r="P75" t="n">
        <v>-0.2589387369760152</v>
      </c>
      <c r="Q75" t="n">
        <v>-0.3671694356949185</v>
      </c>
      <c r="R75" t="n">
        <v>0.3959093705910625</v>
      </c>
      <c r="S75" t="n">
        <v>2.199767482889154</v>
      </c>
      <c r="T75" t="n">
        <v>2.307998181608057</v>
      </c>
      <c r="U75" t="n">
        <v>0.5623232943329468</v>
      </c>
      <c r="V75">
        <f>T75-R75</f>
        <v/>
      </c>
      <c r="W75">
        <f>T75-Settings!$B$5</f>
        <v/>
      </c>
      <c r="X75">
        <f>0.5*(R75+W75)</f>
        <v/>
      </c>
      <c r="Y75">
        <f>AVERAGE(L56:L75)</f>
        <v/>
      </c>
      <c r="Z75">
        <f>AVERAGE(M56:M75)</f>
        <v/>
      </c>
      <c r="AA75">
        <f>AVERAGE(R56:R75)</f>
        <v/>
      </c>
      <c r="AB75">
        <f>AVERAGE(W56:W75)</f>
        <v/>
      </c>
      <c r="AC75">
        <f>AVERAGE(X56:X75)</f>
        <v/>
      </c>
      <c r="AD75">
        <f>0.5*Y75+0.5*AA75</f>
        <v/>
      </c>
      <c r="AE75">
        <f>Settings!$B$3+Settings!$B$4*Z75</f>
        <v/>
      </c>
      <c r="AF75">
        <f>AC75</f>
        <v/>
      </c>
      <c r="AG75">
        <f>0.5*Y75+0.5*AC75</f>
        <v/>
      </c>
      <c r="AH75">
        <f>(AA75+AB75+Y75)/3</f>
        <v/>
      </c>
      <c r="AI75">
        <f>0.7*AA75+0.3*Y75</f>
        <v/>
      </c>
    </row>
    <row r="76">
      <c r="A76" t="inlineStr">
        <is>
          <t>2003-07-01</t>
        </is>
      </c>
      <c r="B76" t="n">
        <v>659379.2105383883</v>
      </c>
      <c r="C76" t="n">
        <v>361120.6611471886</v>
      </c>
      <c r="D76" t="n">
        <v>65.17234089685952</v>
      </c>
      <c r="E76" t="n">
        <v>-0.2900235078470223</v>
      </c>
      <c r="F76" t="n">
        <v>0.0920175846288991</v>
      </c>
      <c r="G76" t="n">
        <v>0.3054519961305804</v>
      </c>
      <c r="H76" t="n">
        <v>1.860842951546654</v>
      </c>
      <c r="I76" t="n">
        <v>85.15591739566942</v>
      </c>
      <c r="J76" t="n">
        <v>1339.905408127682</v>
      </c>
      <c r="K76" t="n">
        <v>835.248352439609</v>
      </c>
      <c r="L76" t="n">
        <v>3.782003132673708</v>
      </c>
      <c r="M76" t="n">
        <v>2.528567483665029</v>
      </c>
      <c r="N76" t="n">
        <v>-0.2900235078470223</v>
      </c>
      <c r="O76" t="n">
        <v>-0.2900235078470223</v>
      </c>
      <c r="P76" t="n">
        <v>-0.2875255626343534</v>
      </c>
      <c r="Q76" t="n">
        <v>-0.3717611316767239</v>
      </c>
      <c r="R76" t="n">
        <v>0.3795431472632524</v>
      </c>
      <c r="S76" t="n">
        <v>2.148368514181008</v>
      </c>
      <c r="T76" t="n">
        <v>2.232604083223378</v>
      </c>
      <c r="U76" t="n">
        <v>0.5929775587649337</v>
      </c>
      <c r="V76">
        <f>T76-R76</f>
        <v/>
      </c>
      <c r="W76">
        <f>T76-Settings!$B$5</f>
        <v/>
      </c>
      <c r="X76">
        <f>0.5*(R76+W76)</f>
        <v/>
      </c>
      <c r="Y76">
        <f>AVERAGE(L57:L76)</f>
        <v/>
      </c>
      <c r="Z76">
        <f>AVERAGE(M57:M76)</f>
        <v/>
      </c>
      <c r="AA76">
        <f>AVERAGE(R57:R76)</f>
        <v/>
      </c>
      <c r="AB76">
        <f>AVERAGE(W57:W76)</f>
        <v/>
      </c>
      <c r="AC76">
        <f>AVERAGE(X57:X76)</f>
        <v/>
      </c>
      <c r="AD76">
        <f>0.5*Y76+0.5*AA76</f>
        <v/>
      </c>
      <c r="AE76">
        <f>Settings!$B$3+Settings!$B$4*Z76</f>
        <v/>
      </c>
      <c r="AF76">
        <f>AC76</f>
        <v/>
      </c>
      <c r="AG76">
        <f>0.5*Y76+0.5*AC76</f>
        <v/>
      </c>
      <c r="AH76">
        <f>(AA76+AB76+Y76)/3</f>
        <v/>
      </c>
      <c r="AI76">
        <f>0.7*AA76+0.3*Y76</f>
        <v/>
      </c>
    </row>
    <row r="77">
      <c r="A77" t="inlineStr">
        <is>
          <t>2003-10-01</t>
        </is>
      </c>
      <c r="B77" t="n">
        <v>666475.0574762098</v>
      </c>
      <c r="C77" t="n">
        <v>365785.8150467631</v>
      </c>
      <c r="D77" t="n">
        <v>65.10425145910557</v>
      </c>
      <c r="E77" t="n">
        <v>-0.2667036010486241</v>
      </c>
      <c r="F77" t="n">
        <v>0.0673541927667644</v>
      </c>
      <c r="G77" t="n">
        <v>0.2691024226948278</v>
      </c>
      <c r="H77" t="n">
        <v>1.972288153821105</v>
      </c>
      <c r="I77" t="n">
        <v>85.14723634090976</v>
      </c>
      <c r="J77" t="n">
        <v>1340.975799475917</v>
      </c>
      <c r="K77" t="n">
        <v>836.5421286072528</v>
      </c>
      <c r="L77" t="n">
        <v>4.281565392940138</v>
      </c>
      <c r="M77" t="n">
        <v>5.175104670575365</v>
      </c>
      <c r="N77" t="n">
        <v>-0.2667036010486241</v>
      </c>
      <c r="O77" t="n">
        <v>-0.2667036010486241</v>
      </c>
      <c r="P77" t="n">
        <v>-0.2944777610631815</v>
      </c>
      <c r="Q77" t="n">
        <v>-0.3647095281317995</v>
      </c>
      <c r="R77" t="n">
        <v>0.3618319538299459</v>
      </c>
      <c r="S77" t="n">
        <v>2.266765914884286</v>
      </c>
      <c r="T77" t="n">
        <v>2.336997681952904</v>
      </c>
      <c r="U77" t="n">
        <v>0.5635801837580092</v>
      </c>
      <c r="V77">
        <f>T77-R77</f>
        <v/>
      </c>
      <c r="W77">
        <f>T77-Settings!$B$5</f>
        <v/>
      </c>
      <c r="X77">
        <f>0.5*(R77+W77)</f>
        <v/>
      </c>
      <c r="Y77">
        <f>AVERAGE(L58:L77)</f>
        <v/>
      </c>
      <c r="Z77">
        <f>AVERAGE(M58:M77)</f>
        <v/>
      </c>
      <c r="AA77">
        <f>AVERAGE(R58:R77)</f>
        <v/>
      </c>
      <c r="AB77">
        <f>AVERAGE(W58:W77)</f>
        <v/>
      </c>
      <c r="AC77">
        <f>AVERAGE(X58:X77)</f>
        <v/>
      </c>
      <c r="AD77">
        <f>0.5*Y77+0.5*AA77</f>
        <v/>
      </c>
      <c r="AE77">
        <f>Settings!$B$3+Settings!$B$4*Z77</f>
        <v/>
      </c>
      <c r="AF77">
        <f>AC77</f>
        <v/>
      </c>
      <c r="AG77">
        <f>0.5*Y77+0.5*AC77</f>
        <v/>
      </c>
      <c r="AH77">
        <f>(AA77+AB77+Y77)/3</f>
        <v/>
      </c>
      <c r="AI77">
        <f>0.7*AA77+0.3*Y77</f>
        <v/>
      </c>
    </row>
    <row r="78">
      <c r="A78" t="inlineStr">
        <is>
          <t>2004-01-01</t>
        </is>
      </c>
      <c r="B78" t="n">
        <v>671046.7920387317</v>
      </c>
      <c r="C78" t="n">
        <v>367783.4910363113</v>
      </c>
      <c r="D78" t="n">
        <v>65.08087512132303</v>
      </c>
      <c r="E78" t="n">
        <v>-0.2141452008313562</v>
      </c>
      <c r="F78" t="n">
        <v>0.12742139604149</v>
      </c>
      <c r="G78" t="n">
        <v>0.3438835606074138</v>
      </c>
      <c r="H78" t="n">
        <v>1.859819665473353</v>
      </c>
      <c r="I78" t="n">
        <v>85.0923157447819</v>
      </c>
      <c r="J78" t="n">
        <v>1341.659414830448</v>
      </c>
      <c r="K78" t="n">
        <v>837.1512969704927</v>
      </c>
      <c r="L78" t="n">
        <v>2.734461418123828</v>
      </c>
      <c r="M78" t="n">
        <v>2.43667345295944</v>
      </c>
      <c r="N78" t="n">
        <v>-0.2141452008313562</v>
      </c>
      <c r="O78" t="n">
        <v>-0.2141452008313562</v>
      </c>
      <c r="P78" t="n">
        <v>-0.2706701500775553</v>
      </c>
      <c r="Q78" t="n">
        <v>-0.3486206606455295</v>
      </c>
      <c r="R78" t="n">
        <v>0.3980915461190453</v>
      </c>
      <c r="S78" t="n">
        <v>2.130489815550908</v>
      </c>
      <c r="T78" t="n">
        <v>2.208440326118883</v>
      </c>
      <c r="U78" t="n">
        <v>0.6145537106849692</v>
      </c>
      <c r="V78">
        <f>T78-R78</f>
        <v/>
      </c>
      <c r="W78">
        <f>T78-Settings!$B$5</f>
        <v/>
      </c>
      <c r="X78">
        <f>0.5*(R78+W78)</f>
        <v/>
      </c>
      <c r="Y78">
        <f>AVERAGE(L59:L78)</f>
        <v/>
      </c>
      <c r="Z78">
        <f>AVERAGE(M59:M78)</f>
        <v/>
      </c>
      <c r="AA78">
        <f>AVERAGE(R59:R78)</f>
        <v/>
      </c>
      <c r="AB78">
        <f>AVERAGE(W59:W78)</f>
        <v/>
      </c>
      <c r="AC78">
        <f>AVERAGE(X59:X78)</f>
        <v/>
      </c>
      <c r="AD78">
        <f>0.5*Y78+0.5*AA78</f>
        <v/>
      </c>
      <c r="AE78">
        <f>Settings!$B$3+Settings!$B$4*Z78</f>
        <v/>
      </c>
      <c r="AF78">
        <f>AC78</f>
        <v/>
      </c>
      <c r="AG78">
        <f>0.5*Y78+0.5*AC78</f>
        <v/>
      </c>
      <c r="AH78">
        <f>(AA78+AB78+Y78)/3</f>
        <v/>
      </c>
      <c r="AI78">
        <f>0.7*AA78+0.3*Y78</f>
        <v/>
      </c>
    </row>
    <row r="79">
      <c r="A79" t="inlineStr">
        <is>
          <t>2004-04-01</t>
        </is>
      </c>
      <c r="B79" t="n">
        <v>676421.5639363284</v>
      </c>
      <c r="C79" t="n">
        <v>371891.6119133491</v>
      </c>
      <c r="D79" t="n">
        <v>65.01911801915718</v>
      </c>
      <c r="E79" t="n">
        <v>-0.2488413174742815</v>
      </c>
      <c r="F79" t="n">
        <v>0.1093986793743052</v>
      </c>
      <c r="G79" t="n">
        <v>0.3037685496464516</v>
      </c>
      <c r="H79" t="n">
        <v>1.823166883426751</v>
      </c>
      <c r="I79" t="n">
        <v>85.14770250907287</v>
      </c>
      <c r="J79" t="n">
        <v>1342.457177594832</v>
      </c>
      <c r="K79" t="n">
        <v>838.1970299921278</v>
      </c>
      <c r="L79" t="n">
        <v>3.191051057536242</v>
      </c>
      <c r="M79" t="n">
        <v>4.182932086540404</v>
      </c>
      <c r="N79" t="n">
        <v>-0.2488413174742815</v>
      </c>
      <c r="O79" t="n">
        <v>-0.2488413174742815</v>
      </c>
      <c r="P79" t="n">
        <v>-0.254928406800321</v>
      </c>
      <c r="Q79" t="n">
        <v>-0.3263777728355836</v>
      </c>
      <c r="R79" t="n">
        <v>0.3643270861746262</v>
      </c>
      <c r="S79" t="n">
        <v>2.078095290227072</v>
      </c>
      <c r="T79" t="n">
        <v>2.149544656262334</v>
      </c>
      <c r="U79" t="n">
        <v>0.5586969564467726</v>
      </c>
      <c r="V79">
        <f>T79-R79</f>
        <v/>
      </c>
      <c r="W79">
        <f>T79-Settings!$B$5</f>
        <v/>
      </c>
      <c r="X79">
        <f>0.5*(R79+W79)</f>
        <v/>
      </c>
      <c r="Y79">
        <f>AVERAGE(L60:L79)</f>
        <v/>
      </c>
      <c r="Z79">
        <f>AVERAGE(M60:M79)</f>
        <v/>
      </c>
      <c r="AA79">
        <f>AVERAGE(R60:R79)</f>
        <v/>
      </c>
      <c r="AB79">
        <f>AVERAGE(W60:W79)</f>
        <v/>
      </c>
      <c r="AC79">
        <f>AVERAGE(X60:X79)</f>
        <v/>
      </c>
      <c r="AD79">
        <f>0.5*Y79+0.5*AA79</f>
        <v/>
      </c>
      <c r="AE79">
        <f>Settings!$B$3+Settings!$B$4*Z79</f>
        <v/>
      </c>
      <c r="AF79">
        <f>AC79</f>
        <v/>
      </c>
      <c r="AG79">
        <f>0.5*Y79+0.5*AC79</f>
        <v/>
      </c>
      <c r="AH79">
        <f>(AA79+AB79+Y79)/3</f>
        <v/>
      </c>
      <c r="AI79">
        <f>0.7*AA79+0.3*Y79</f>
        <v/>
      </c>
    </row>
    <row r="80">
      <c r="A80" t="inlineStr">
        <is>
          <t>2004-07-01</t>
        </is>
      </c>
      <c r="B80" t="n">
        <v>682320.7455416649</v>
      </c>
      <c r="C80" t="n">
        <v>372647.1280043816</v>
      </c>
      <c r="D80" t="n">
        <v>64.96464464640366</v>
      </c>
      <c r="E80" t="n">
        <v>-0.3191966156801977</v>
      </c>
      <c r="F80" t="n">
        <v>0.0275936370292476</v>
      </c>
      <c r="G80" t="n">
        <v>0.2359379488228864</v>
      </c>
      <c r="H80" t="n">
        <v>1.875481190881294</v>
      </c>
      <c r="I80" t="n">
        <v>85.02717644278876</v>
      </c>
      <c r="J80" t="n">
        <v>1343.325512764931</v>
      </c>
      <c r="K80" t="n">
        <v>838.5416285082066</v>
      </c>
      <c r="L80" t="n">
        <v>3.473340680396177</v>
      </c>
      <c r="M80" t="n">
        <v>1.378394064315216</v>
      </c>
      <c r="N80" t="n">
        <v>-0.3191966156801977</v>
      </c>
      <c r="O80" t="n">
        <v>-0.3191966156801977</v>
      </c>
      <c r="P80" t="n">
        <v>-0.2622216837586149</v>
      </c>
      <c r="Q80" t="n">
        <v>-0.3153097604874681</v>
      </c>
      <c r="R80" t="n">
        <v>0.2898153207878625</v>
      </c>
      <c r="S80" t="n">
        <v>2.137702874639908</v>
      </c>
      <c r="T80" t="n">
        <v>2.190790951368762</v>
      </c>
      <c r="U80" t="n">
        <v>0.4981596325815013</v>
      </c>
      <c r="V80">
        <f>T80-R80</f>
        <v/>
      </c>
      <c r="W80">
        <f>T80-Settings!$B$5</f>
        <v/>
      </c>
      <c r="X80">
        <f>0.5*(R80+W80)</f>
        <v/>
      </c>
      <c r="Y80">
        <f>AVERAGE(L61:L80)</f>
        <v/>
      </c>
      <c r="Z80">
        <f>AVERAGE(M61:M80)</f>
        <v/>
      </c>
      <c r="AA80">
        <f>AVERAGE(R61:R80)</f>
        <v/>
      </c>
      <c r="AB80">
        <f>AVERAGE(W61:W80)</f>
        <v/>
      </c>
      <c r="AC80">
        <f>AVERAGE(X61:X80)</f>
        <v/>
      </c>
      <c r="AD80">
        <f>0.5*Y80+0.5*AA80</f>
        <v/>
      </c>
      <c r="AE80">
        <f>Settings!$B$3+Settings!$B$4*Z80</f>
        <v/>
      </c>
      <c r="AF80">
        <f>AC80</f>
        <v/>
      </c>
      <c r="AG80">
        <f>0.5*Y80+0.5*AC80</f>
        <v/>
      </c>
      <c r="AH80">
        <f>(AA80+AB80+Y80)/3</f>
        <v/>
      </c>
      <c r="AI80">
        <f>0.7*AA80+0.3*Y80</f>
        <v/>
      </c>
    </row>
    <row r="81">
      <c r="A81" t="inlineStr">
        <is>
          <t>2004-10-01</t>
        </is>
      </c>
      <c r="B81" t="n">
        <v>685829.0134182987</v>
      </c>
      <c r="C81" t="n">
        <v>374998.9265164599</v>
      </c>
      <c r="D81" t="n">
        <v>64.95633875127342</v>
      </c>
      <c r="E81" t="n">
        <v>-0.2274520996115493</v>
      </c>
      <c r="F81" t="n">
        <v>0.0966009872007797</v>
      </c>
      <c r="G81" t="n">
        <v>0.301344559747933</v>
      </c>
      <c r="H81" t="n">
        <v>1.743036780208168</v>
      </c>
      <c r="I81" t="n">
        <v>85.08161172860896</v>
      </c>
      <c r="J81" t="n">
        <v>1343.838362406286</v>
      </c>
      <c r="K81" t="n">
        <v>839.1067508489373</v>
      </c>
      <c r="L81" t="n">
        <v>2.05139856542246</v>
      </c>
      <c r="M81" t="n">
        <v>2.260489362922726</v>
      </c>
      <c r="N81" t="n">
        <v>-0.2274520996115493</v>
      </c>
      <c r="O81" t="n">
        <v>-0.2274520996115493</v>
      </c>
      <c r="P81" t="n">
        <v>-0.2524088083993462</v>
      </c>
      <c r="Q81" t="n">
        <v>-0.3063139037993662</v>
      </c>
      <c r="R81" t="n">
        <v>0.3490097956001258</v>
      </c>
      <c r="S81" t="n">
        <v>1.995445588607514</v>
      </c>
      <c r="T81" t="n">
        <v>2.049350684007534</v>
      </c>
      <c r="U81" t="n">
        <v>0.5537533681472792</v>
      </c>
      <c r="V81">
        <f>T81-R81</f>
        <v/>
      </c>
      <c r="W81">
        <f>T81-Settings!$B$5</f>
        <v/>
      </c>
      <c r="X81">
        <f>0.5*(R81+W81)</f>
        <v/>
      </c>
      <c r="Y81">
        <f>AVERAGE(L62:L81)</f>
        <v/>
      </c>
      <c r="Z81">
        <f>AVERAGE(M62:M81)</f>
        <v/>
      </c>
      <c r="AA81">
        <f>AVERAGE(R62:R81)</f>
        <v/>
      </c>
      <c r="AB81">
        <f>AVERAGE(W62:W81)</f>
        <v/>
      </c>
      <c r="AC81">
        <f>AVERAGE(X62:X81)</f>
        <v/>
      </c>
      <c r="AD81">
        <f>0.5*Y81+0.5*AA81</f>
        <v/>
      </c>
      <c r="AE81">
        <f>Settings!$B$3+Settings!$B$4*Z81</f>
        <v/>
      </c>
      <c r="AF81">
        <f>AC81</f>
        <v/>
      </c>
      <c r="AG81">
        <f>0.5*Y81+0.5*AC81</f>
        <v/>
      </c>
      <c r="AH81">
        <f>(AA81+AB81+Y81)/3</f>
        <v/>
      </c>
      <c r="AI81">
        <f>0.7*AA81+0.3*Y81</f>
        <v/>
      </c>
    </row>
    <row r="82">
      <c r="A82" t="inlineStr">
        <is>
          <t>2005-01-01</t>
        </is>
      </c>
      <c r="B82" t="n">
        <v>690404.4422132209</v>
      </c>
      <c r="C82" t="n">
        <v>382970.3464233804</v>
      </c>
      <c r="D82" t="n">
        <v>64.81068860728946</v>
      </c>
      <c r="E82" t="n">
        <v>-0.4160191716205194</v>
      </c>
      <c r="F82" t="n">
        <v>0.113101790603719</v>
      </c>
      <c r="G82" t="n">
        <v>0.3364348122762668</v>
      </c>
      <c r="H82" t="n">
        <v>1.95207096113572</v>
      </c>
      <c r="I82" t="n">
        <v>84.96778164398935</v>
      </c>
      <c r="J82" t="n">
        <v>1344.503285299082</v>
      </c>
      <c r="K82" t="n">
        <v>841.3440695529102</v>
      </c>
      <c r="L82" t="n">
        <v>2.659691571184339</v>
      </c>
      <c r="M82" t="n">
        <v>8.94927481589184</v>
      </c>
      <c r="N82" t="n">
        <v>-0.4160191716205194</v>
      </c>
      <c r="O82" t="n">
        <v>-0.4160191716205194</v>
      </c>
      <c r="P82" t="n">
        <v>-0.302877301096637</v>
      </c>
      <c r="Q82" t="n">
        <v>-0.3137872211483905</v>
      </c>
      <c r="R82" t="n">
        <v>0.415979091700356</v>
      </c>
      <c r="S82" t="n">
        <v>2.254948262232356</v>
      </c>
      <c r="T82" t="n">
        <v>2.26585818228411</v>
      </c>
      <c r="U82" t="n">
        <v>0.6393121133729038</v>
      </c>
      <c r="V82">
        <f>T82-R82</f>
        <v/>
      </c>
      <c r="W82">
        <f>T82-Settings!$B$5</f>
        <v/>
      </c>
      <c r="X82">
        <f>0.5*(R82+W82)</f>
        <v/>
      </c>
      <c r="Y82">
        <f>AVERAGE(L63:L82)</f>
        <v/>
      </c>
      <c r="Z82">
        <f>AVERAGE(M63:M82)</f>
        <v/>
      </c>
      <c r="AA82">
        <f>AVERAGE(R63:R82)</f>
        <v/>
      </c>
      <c r="AB82">
        <f>AVERAGE(W63:W82)</f>
        <v/>
      </c>
      <c r="AC82">
        <f>AVERAGE(X63:X82)</f>
        <v/>
      </c>
      <c r="AD82">
        <f>0.5*Y82+0.5*AA82</f>
        <v/>
      </c>
      <c r="AE82">
        <f>Settings!$B$3+Settings!$B$4*Z82</f>
        <v/>
      </c>
      <c r="AF82">
        <f>AC82</f>
        <v/>
      </c>
      <c r="AG82">
        <f>0.5*Y82+0.5*AC82</f>
        <v/>
      </c>
      <c r="AH82">
        <f>(AA82+AB82+Y82)/3</f>
        <v/>
      </c>
      <c r="AI82">
        <f>0.7*AA82+0.3*Y82</f>
        <v/>
      </c>
    </row>
    <row r="83">
      <c r="A83" t="inlineStr">
        <is>
          <t>2005-04-01</t>
        </is>
      </c>
      <c r="B83" t="n">
        <v>692143.6957302671</v>
      </c>
      <c r="C83" t="n">
        <v>378723.6925394502</v>
      </c>
      <c r="D83" t="n">
        <v>64.69915771799865</v>
      </c>
      <c r="E83" t="n">
        <v>-0.4933166868324731</v>
      </c>
      <c r="F83" t="n">
        <v>0.0550152606756123</v>
      </c>
      <c r="G83" t="n">
        <v>0.2792255091339464</v>
      </c>
      <c r="H83" t="n">
        <v>1.865270579048239</v>
      </c>
      <c r="I83" t="n">
        <v>84.97198740767993</v>
      </c>
      <c r="J83" t="n">
        <v>1344.754886583235</v>
      </c>
      <c r="K83" t="n">
        <v>840.2240532487771</v>
      </c>
      <c r="L83" t="n">
        <v>1.006405136611647</v>
      </c>
      <c r="M83" t="n">
        <v>-4.480065216532694</v>
      </c>
      <c r="N83" t="n">
        <v>-0.4933166868324731</v>
      </c>
      <c r="O83" t="n">
        <v>-0.4933166868324731</v>
      </c>
      <c r="P83" t="n">
        <v>-0.3639961434361849</v>
      </c>
      <c r="Q83" t="n">
        <v>-0.3228055532810115</v>
      </c>
      <c r="R83" t="n">
        <v>0.4190114041117972</v>
      </c>
      <c r="S83" t="n">
        <v>2.229266722484424</v>
      </c>
      <c r="T83" t="n">
        <v>2.18807613232925</v>
      </c>
      <c r="U83" t="n">
        <v>0.6432216525701313</v>
      </c>
      <c r="V83">
        <f>T83-R83</f>
        <v/>
      </c>
      <c r="W83">
        <f>T83-Settings!$B$5</f>
        <v/>
      </c>
      <c r="X83">
        <f>0.5*(R83+W83)</f>
        <v/>
      </c>
      <c r="Y83">
        <f>AVERAGE(L64:L83)</f>
        <v/>
      </c>
      <c r="Z83">
        <f>AVERAGE(M64:M83)</f>
        <v/>
      </c>
      <c r="AA83">
        <f>AVERAGE(R64:R83)</f>
        <v/>
      </c>
      <c r="AB83">
        <f>AVERAGE(W64:W83)</f>
        <v/>
      </c>
      <c r="AC83">
        <f>AVERAGE(X64:X83)</f>
        <v/>
      </c>
      <c r="AD83">
        <f>0.5*Y83+0.5*AA83</f>
        <v/>
      </c>
      <c r="AE83">
        <f>Settings!$B$3+Settings!$B$4*Z83</f>
        <v/>
      </c>
      <c r="AF83">
        <f>AC83</f>
        <v/>
      </c>
      <c r="AG83">
        <f>0.5*Y83+0.5*AC83</f>
        <v/>
      </c>
      <c r="AH83">
        <f>(AA83+AB83+Y83)/3</f>
        <v/>
      </c>
      <c r="AI83">
        <f>0.7*AA83+0.3*Y83</f>
        <v/>
      </c>
    </row>
    <row r="84">
      <c r="A84" t="inlineStr">
        <is>
          <t>2005-07-01</t>
        </is>
      </c>
      <c r="B84" t="n">
        <v>693990.1257340334</v>
      </c>
      <c r="C84" t="n">
        <v>380023.6886336995</v>
      </c>
      <c r="D84" t="n">
        <v>64.57882328400696</v>
      </c>
      <c r="E84" t="n">
        <v>-0.5956649290910748</v>
      </c>
      <c r="F84" t="n">
        <v>0.1094921696418721</v>
      </c>
      <c r="G84" t="n">
        <v>0.260896009810119</v>
      </c>
      <c r="H84" t="n">
        <v>1.894747920650056</v>
      </c>
      <c r="I84" t="n">
        <v>84.8964018723855</v>
      </c>
      <c r="J84" t="n">
        <v>1345.021301133878</v>
      </c>
      <c r="K84" t="n">
        <v>840.6557156622973</v>
      </c>
      <c r="L84" t="n">
        <v>1.065658202570376</v>
      </c>
      <c r="M84" t="n">
        <v>1.726649654081029</v>
      </c>
      <c r="N84" t="n">
        <v>-0.5956649290910748</v>
      </c>
      <c r="O84" t="n">
        <v>-0.5956649290910748</v>
      </c>
      <c r="P84" t="n">
        <v>-0.4331132217889042</v>
      </c>
      <c r="Q84" t="n">
        <v>-0.3266297723666264</v>
      </c>
      <c r="R84" t="n">
        <v>0.5426053914307764</v>
      </c>
      <c r="S84" t="n">
        <v>2.32786114243896</v>
      </c>
      <c r="T84" t="n">
        <v>2.221377693016682</v>
      </c>
      <c r="U84" t="n">
        <v>0.6940092315990232</v>
      </c>
      <c r="V84">
        <f>T84-R84</f>
        <v/>
      </c>
      <c r="W84">
        <f>T84-Settings!$B$5</f>
        <v/>
      </c>
      <c r="X84">
        <f>0.5*(R84+W84)</f>
        <v/>
      </c>
      <c r="Y84">
        <f>AVERAGE(L65:L84)</f>
        <v/>
      </c>
      <c r="Z84">
        <f>AVERAGE(M65:M84)</f>
        <v/>
      </c>
      <c r="AA84">
        <f>AVERAGE(R65:R84)</f>
        <v/>
      </c>
      <c r="AB84">
        <f>AVERAGE(W65:W84)</f>
        <v/>
      </c>
      <c r="AC84">
        <f>AVERAGE(X65:X84)</f>
        <v/>
      </c>
      <c r="AD84">
        <f>0.5*Y84+0.5*AA84</f>
        <v/>
      </c>
      <c r="AE84">
        <f>Settings!$B$3+Settings!$B$4*Z84</f>
        <v/>
      </c>
      <c r="AF84">
        <f>AC84</f>
        <v/>
      </c>
      <c r="AG84">
        <f>0.5*Y84+0.5*AC84</f>
        <v/>
      </c>
      <c r="AH84">
        <f>(AA84+AB84+Y84)/3</f>
        <v/>
      </c>
      <c r="AI84">
        <f>0.7*AA84+0.3*Y84</f>
        <v/>
      </c>
    </row>
    <row r="85">
      <c r="A85" t="inlineStr">
        <is>
          <t>2005-10-01</t>
        </is>
      </c>
      <c r="B85" t="n">
        <v>695320.5757850941</v>
      </c>
      <c r="C85" t="n">
        <v>385246.6015309285</v>
      </c>
      <c r="D85" t="n">
        <v>64.41756420423542</v>
      </c>
      <c r="E85" t="n">
        <v>-0.8329000662315031</v>
      </c>
      <c r="F85" t="n">
        <v>0.0272588757371105</v>
      </c>
      <c r="G85" t="n">
        <v>0.1598408190768849</v>
      </c>
      <c r="H85" t="n">
        <v>1.986086486452037</v>
      </c>
      <c r="I85" t="n">
        <v>84.94775118601737</v>
      </c>
      <c r="J85" t="n">
        <v>1345.212827832162</v>
      </c>
      <c r="K85" t="n">
        <v>841.9602556118713</v>
      </c>
      <c r="L85" t="n">
        <v>0.7661067931358048</v>
      </c>
      <c r="M85" t="n">
        <v>5.218159798295801</v>
      </c>
      <c r="N85" t="n">
        <v>-0.8329000662315031</v>
      </c>
      <c r="O85" t="n">
        <v>-0.8329000662315031</v>
      </c>
      <c r="P85" t="n">
        <v>-0.5844752134438926</v>
      </c>
      <c r="Q85" t="n">
        <v>-0.3405538698439288</v>
      </c>
      <c r="R85" t="n">
        <v>0.6117340891810031</v>
      </c>
      <c r="S85" t="n">
        <v>2.570561699895929</v>
      </c>
      <c r="T85" t="n">
        <v>2.326640356295965</v>
      </c>
      <c r="U85" t="n">
        <v>0.7443160325207776</v>
      </c>
      <c r="V85">
        <f>T85-R85</f>
        <v/>
      </c>
      <c r="W85">
        <f>T85-Settings!$B$5</f>
        <v/>
      </c>
      <c r="X85">
        <f>0.5*(R85+W85)</f>
        <v/>
      </c>
      <c r="Y85">
        <f>AVERAGE(L66:L85)</f>
        <v/>
      </c>
      <c r="Z85">
        <f>AVERAGE(M66:M85)</f>
        <v/>
      </c>
      <c r="AA85">
        <f>AVERAGE(R66:R85)</f>
        <v/>
      </c>
      <c r="AB85">
        <f>AVERAGE(W66:W85)</f>
        <v/>
      </c>
      <c r="AC85">
        <f>AVERAGE(X66:X85)</f>
        <v/>
      </c>
      <c r="AD85">
        <f>0.5*Y85+0.5*AA85</f>
        <v/>
      </c>
      <c r="AE85">
        <f>Settings!$B$3+Settings!$B$4*Z85</f>
        <v/>
      </c>
      <c r="AF85">
        <f>AC85</f>
        <v/>
      </c>
      <c r="AG85">
        <f>0.5*Y85+0.5*AC85</f>
        <v/>
      </c>
      <c r="AH85">
        <f>(AA85+AB85+Y85)/3</f>
        <v/>
      </c>
      <c r="AI85">
        <f>0.7*AA85+0.3*Y85</f>
        <v/>
      </c>
    </row>
    <row r="86">
      <c r="A86" t="inlineStr">
        <is>
          <t>2006-01-01</t>
        </is>
      </c>
      <c r="B86" t="n">
        <v>694528.8492736233</v>
      </c>
      <c r="C86" t="n">
        <v>386455.5940321372</v>
      </c>
      <c r="D86" t="n">
        <v>64.3365329314036</v>
      </c>
      <c r="E86" t="n">
        <v>-0.7342903714140797</v>
      </c>
      <c r="F86" t="n">
        <v>0.1668093050006085</v>
      </c>
      <c r="G86" t="n">
        <v>0.3968616669301537</v>
      </c>
      <c r="H86" t="n">
        <v>1.904588560471137</v>
      </c>
      <c r="I86" t="n">
        <v>84.97225629784633</v>
      </c>
      <c r="J86" t="n">
        <v>1345.098897994464</v>
      </c>
      <c r="K86" t="n">
        <v>842.2447441150517</v>
      </c>
      <c r="L86" t="n">
        <v>-0.4557193507926058</v>
      </c>
      <c r="M86" t="n">
        <v>1.137954012721821</v>
      </c>
      <c r="N86" t="n">
        <v>-0.7342903714140797</v>
      </c>
      <c r="O86" t="n">
        <v>-0.7342903714140797</v>
      </c>
      <c r="P86" t="n">
        <v>-0.6640430133922827</v>
      </c>
      <c r="Q86" t="n">
        <v>-0.3467422942817341</v>
      </c>
      <c r="R86" t="n">
        <v>0.8308523183928912</v>
      </c>
      <c r="S86" t="n">
        <v>2.568631573863419</v>
      </c>
      <c r="T86" t="n">
        <v>2.251330854752871</v>
      </c>
      <c r="U86" t="n">
        <v>1.060904680322436</v>
      </c>
      <c r="V86">
        <f>T86-R86</f>
        <v/>
      </c>
      <c r="W86">
        <f>T86-Settings!$B$5</f>
        <v/>
      </c>
      <c r="X86">
        <f>0.5*(R86+W86)</f>
        <v/>
      </c>
      <c r="Y86">
        <f>AVERAGE(L67:L86)</f>
        <v/>
      </c>
      <c r="Z86">
        <f>AVERAGE(M67:M86)</f>
        <v/>
      </c>
      <c r="AA86">
        <f>AVERAGE(R67:R86)</f>
        <v/>
      </c>
      <c r="AB86">
        <f>AVERAGE(W67:W86)</f>
        <v/>
      </c>
      <c r="AC86">
        <f>AVERAGE(X67:X86)</f>
        <v/>
      </c>
      <c r="AD86">
        <f>0.5*Y86+0.5*AA86</f>
        <v/>
      </c>
      <c r="AE86">
        <f>Settings!$B$3+Settings!$B$4*Z86</f>
        <v/>
      </c>
      <c r="AF86">
        <f>AC86</f>
        <v/>
      </c>
      <c r="AG86">
        <f>0.5*Y86+0.5*AC86</f>
        <v/>
      </c>
      <c r="AH86">
        <f>(AA86+AB86+Y86)/3</f>
        <v/>
      </c>
      <c r="AI86">
        <f>0.7*AA86+0.3*Y86</f>
        <v/>
      </c>
    </row>
    <row r="87">
      <c r="A87" t="inlineStr">
        <is>
          <t>2006-04-01</t>
        </is>
      </c>
      <c r="B87" t="n">
        <v>696893.762077301</v>
      </c>
      <c r="C87" t="n">
        <v>381499.5648807592</v>
      </c>
      <c r="D87" t="n">
        <v>64.32444365175429</v>
      </c>
      <c r="E87" t="n">
        <v>-0.5808474043288921</v>
      </c>
      <c r="F87" t="n">
        <v>0.1623974992529716</v>
      </c>
      <c r="G87" t="n">
        <v>0.3980292520508297</v>
      </c>
      <c r="H87" t="n">
        <v>2.16842731630538</v>
      </c>
      <c r="I87" t="n">
        <v>84.87113219100895</v>
      </c>
      <c r="J87" t="n">
        <v>1345.438825642845</v>
      </c>
      <c r="K87" t="n">
        <v>841.0730974967894</v>
      </c>
      <c r="L87" t="n">
        <v>1.359710593525961</v>
      </c>
      <c r="M87" t="n">
        <v>-4.686586473049374</v>
      </c>
      <c r="N87" t="n">
        <v>-0.5808474043288921</v>
      </c>
      <c r="O87" t="n">
        <v>-0.5808474043288921</v>
      </c>
      <c r="P87" t="n">
        <v>-0.6859256927663874</v>
      </c>
      <c r="Q87" t="n">
        <v>-0.3522791390738138</v>
      </c>
      <c r="R87" t="n">
        <v>0.848323192019359</v>
      </c>
      <c r="S87" t="n">
        <v>2.854353009071767</v>
      </c>
      <c r="T87" t="n">
        <v>2.520706455379194</v>
      </c>
      <c r="U87" t="n">
        <v>1.083954944817217</v>
      </c>
      <c r="V87">
        <f>T87-R87</f>
        <v/>
      </c>
      <c r="W87">
        <f>T87-Settings!$B$5</f>
        <v/>
      </c>
      <c r="X87">
        <f>0.5*(R87+W87)</f>
        <v/>
      </c>
      <c r="Y87">
        <f>AVERAGE(L68:L87)</f>
        <v/>
      </c>
      <c r="Z87">
        <f>AVERAGE(M68:M87)</f>
        <v/>
      </c>
      <c r="AA87">
        <f>AVERAGE(R68:R87)</f>
        <v/>
      </c>
      <c r="AB87">
        <f>AVERAGE(W68:W87)</f>
        <v/>
      </c>
      <c r="AC87">
        <f>AVERAGE(X68:X87)</f>
        <v/>
      </c>
      <c r="AD87">
        <f>0.5*Y87+0.5*AA87</f>
        <v/>
      </c>
      <c r="AE87">
        <f>Settings!$B$3+Settings!$B$4*Z87</f>
        <v/>
      </c>
      <c r="AF87">
        <f>AC87</f>
        <v/>
      </c>
      <c r="AG87">
        <f>0.5*Y87+0.5*AC87</f>
        <v/>
      </c>
      <c r="AH87">
        <f>(AA87+AB87+Y87)/3</f>
        <v/>
      </c>
      <c r="AI87">
        <f>0.7*AA87+0.3*Y87</f>
        <v/>
      </c>
    </row>
    <row r="88">
      <c r="A88" t="inlineStr">
        <is>
          <t>2006-07-01</t>
        </is>
      </c>
      <c r="B88" t="n">
        <v>696991.7560265488</v>
      </c>
      <c r="C88" t="n">
        <v>382781.215214511</v>
      </c>
      <c r="D88" t="n">
        <v>64.26248641995117</v>
      </c>
      <c r="E88" t="n">
        <v>-0.4910498044993737</v>
      </c>
      <c r="F88" t="n">
        <v>0.0873741332848517</v>
      </c>
      <c r="G88" t="n">
        <v>0.2567554426994516</v>
      </c>
      <c r="H88" t="n">
        <v>1.864830988362042</v>
      </c>
      <c r="I88" t="n">
        <v>84.8401557150648</v>
      </c>
      <c r="J88" t="n">
        <v>1345.452886187723</v>
      </c>
      <c r="K88" t="n">
        <v>841.4449900202856</v>
      </c>
      <c r="L88" t="n">
        <v>0.05624217951117316</v>
      </c>
      <c r="M88" t="n">
        <v>1.487570093984687</v>
      </c>
      <c r="N88" t="n">
        <v>-0.4910498044993737</v>
      </c>
      <c r="O88" t="n">
        <v>-0.4910498044993737</v>
      </c>
      <c r="P88" t="n">
        <v>-0.6597719116184622</v>
      </c>
      <c r="Q88" t="n">
        <v>-0.3646213178601198</v>
      </c>
      <c r="R88" t="n">
        <v>0.7471460449033138</v>
      </c>
      <c r="S88" t="n">
        <v>2.524602899980504</v>
      </c>
      <c r="T88" t="n">
        <v>2.229452306222162</v>
      </c>
      <c r="U88" t="n">
        <v>0.9165273543179138</v>
      </c>
      <c r="V88">
        <f>T88-R88</f>
        <v/>
      </c>
      <c r="W88">
        <f>T88-Settings!$B$5</f>
        <v/>
      </c>
      <c r="X88">
        <f>0.5*(R88+W88)</f>
        <v/>
      </c>
      <c r="Y88">
        <f>AVERAGE(L69:L88)</f>
        <v/>
      </c>
      <c r="Z88">
        <f>AVERAGE(M69:M88)</f>
        <v/>
      </c>
      <c r="AA88">
        <f>AVERAGE(R69:R88)</f>
        <v/>
      </c>
      <c r="AB88">
        <f>AVERAGE(W69:W88)</f>
        <v/>
      </c>
      <c r="AC88">
        <f>AVERAGE(X69:X88)</f>
        <v/>
      </c>
      <c r="AD88">
        <f>0.5*Y88+0.5*AA88</f>
        <v/>
      </c>
      <c r="AE88">
        <f>Settings!$B$3+Settings!$B$4*Z88</f>
        <v/>
      </c>
      <c r="AF88">
        <f>AC88</f>
        <v/>
      </c>
      <c r="AG88">
        <f>0.5*Y88+0.5*AC88</f>
        <v/>
      </c>
      <c r="AH88">
        <f>(AA88+AB88+Y88)/3</f>
        <v/>
      </c>
      <c r="AI88">
        <f>0.7*AA88+0.3*Y88</f>
        <v/>
      </c>
    </row>
    <row r="89">
      <c r="A89" t="inlineStr">
        <is>
          <t>2006-10-01</t>
        </is>
      </c>
      <c r="B89" t="n">
        <v>697919.633423137</v>
      </c>
      <c r="C89" t="n">
        <v>384380.5891062585</v>
      </c>
      <c r="D89" t="n">
        <v>64.22383404588747</v>
      </c>
      <c r="E89" t="n">
        <v>-0.301194339365112</v>
      </c>
      <c r="F89" t="n">
        <v>0.1181727168919536</v>
      </c>
      <c r="G89" t="n">
        <v>0.2623776546955848</v>
      </c>
      <c r="H89" t="n">
        <v>1.790471072394931</v>
      </c>
      <c r="I89" t="n">
        <v>84.7692691518466</v>
      </c>
      <c r="J89" t="n">
        <v>1345.585923675331</v>
      </c>
      <c r="K89" t="n">
        <v>841.9455373160753</v>
      </c>
      <c r="L89" t="n">
        <v>0.5321499504334497</v>
      </c>
      <c r="M89" t="n">
        <v>2.002189183158862</v>
      </c>
      <c r="N89" t="n">
        <v>-0.301194339365112</v>
      </c>
      <c r="O89" t="n">
        <v>-0.301194339365112</v>
      </c>
      <c r="P89" t="n">
        <v>-0.5268454799018644</v>
      </c>
      <c r="Q89" t="n">
        <v>-0.3677853028147187</v>
      </c>
      <c r="R89" t="n">
        <v>0.645018196793818</v>
      </c>
      <c r="S89" t="n">
        <v>2.317316552296795</v>
      </c>
      <c r="T89" t="n">
        <v>2.15825637520965</v>
      </c>
      <c r="U89" t="n">
        <v>0.7892231345974492</v>
      </c>
      <c r="V89">
        <f>T89-R89</f>
        <v/>
      </c>
      <c r="W89">
        <f>T89-Settings!$B$5</f>
        <v/>
      </c>
      <c r="X89">
        <f>0.5*(R89+W89)</f>
        <v/>
      </c>
      <c r="Y89">
        <f>AVERAGE(L70:L89)</f>
        <v/>
      </c>
      <c r="Z89">
        <f>AVERAGE(M70:M89)</f>
        <v/>
      </c>
      <c r="AA89">
        <f>AVERAGE(R70:R89)</f>
        <v/>
      </c>
      <c r="AB89">
        <f>AVERAGE(W70:W89)</f>
        <v/>
      </c>
      <c r="AC89">
        <f>AVERAGE(X70:X89)</f>
        <v/>
      </c>
      <c r="AD89">
        <f>0.5*Y89+0.5*AA89</f>
        <v/>
      </c>
      <c r="AE89">
        <f>Settings!$B$3+Settings!$B$4*Z89</f>
        <v/>
      </c>
      <c r="AF89">
        <f>AC89</f>
        <v/>
      </c>
      <c r="AG89">
        <f>0.5*Y89+0.5*AC89</f>
        <v/>
      </c>
      <c r="AH89">
        <f>(AA89+AB89+Y89)/3</f>
        <v/>
      </c>
      <c r="AI89">
        <f>0.7*AA89+0.3*Y89</f>
        <v/>
      </c>
    </row>
    <row r="90">
      <c r="A90" t="inlineStr">
        <is>
          <t>2007-01-01</t>
        </is>
      </c>
      <c r="B90" t="n">
        <v>699751.304170105</v>
      </c>
      <c r="C90" t="n">
        <v>387533.6880747149</v>
      </c>
      <c r="D90" t="n">
        <v>64.22813160694454</v>
      </c>
      <c r="E90" t="n">
        <v>-0.1686331941001643</v>
      </c>
      <c r="F90" t="n">
        <v>-0.0204960982899937</v>
      </c>
      <c r="G90" t="n">
        <v>0.1824749463402223</v>
      </c>
      <c r="H90" t="n">
        <v>1.786495859809489</v>
      </c>
      <c r="I90" t="n">
        <v>84.78853536732238</v>
      </c>
      <c r="J90" t="n">
        <v>1345.848027114174</v>
      </c>
      <c r="K90" t="n">
        <v>842.7397723445777</v>
      </c>
      <c r="L90" t="n">
        <v>1.048413755372167</v>
      </c>
      <c r="M90" t="n">
        <v>3.17694011400954</v>
      </c>
      <c r="N90" t="n">
        <v>-0.1686331941001643</v>
      </c>
      <c r="O90" t="n">
        <v>-0.1686331941001643</v>
      </c>
      <c r="P90" t="n">
        <v>-0.3854311855733855</v>
      </c>
      <c r="Q90" t="n">
        <v>-0.3689408897023735</v>
      </c>
      <c r="R90" t="n">
        <v>0.3649350872833918</v>
      </c>
      <c r="S90" t="n">
        <v>2.171927045382875</v>
      </c>
      <c r="T90" t="n">
        <v>2.155436749511862</v>
      </c>
      <c r="U90" t="n">
        <v>0.5679061319136078</v>
      </c>
      <c r="V90">
        <f>T90-R90</f>
        <v/>
      </c>
      <c r="W90">
        <f>T90-Settings!$B$5</f>
        <v/>
      </c>
      <c r="X90">
        <f>0.5*(R90+W90)</f>
        <v/>
      </c>
      <c r="Y90">
        <f>AVERAGE(L71:L90)</f>
        <v/>
      </c>
      <c r="Z90">
        <f>AVERAGE(M71:M90)</f>
        <v/>
      </c>
      <c r="AA90">
        <f>AVERAGE(R71:R90)</f>
        <v/>
      </c>
      <c r="AB90">
        <f>AVERAGE(W71:W90)</f>
        <v/>
      </c>
      <c r="AC90">
        <f>AVERAGE(X71:X90)</f>
        <v/>
      </c>
      <c r="AD90">
        <f>0.5*Y90+0.5*AA90</f>
        <v/>
      </c>
      <c r="AE90">
        <f>Settings!$B$3+Settings!$B$4*Z90</f>
        <v/>
      </c>
      <c r="AF90">
        <f>AC90</f>
        <v/>
      </c>
      <c r="AG90">
        <f>0.5*Y90+0.5*AC90</f>
        <v/>
      </c>
      <c r="AH90">
        <f>(AA90+AB90+Y90)/3</f>
        <v/>
      </c>
      <c r="AI90">
        <f>0.7*AA90+0.3*Y90</f>
        <v/>
      </c>
    </row>
    <row r="91">
      <c r="A91" t="inlineStr">
        <is>
          <t>2007-04-01</t>
        </is>
      </c>
      <c r="B91" t="n">
        <v>701537.1579671446</v>
      </c>
      <c r="C91" t="n">
        <v>384325.341886544</v>
      </c>
      <c r="D91" t="n">
        <v>64.24391854782247</v>
      </c>
      <c r="E91" t="n">
        <v>-0.1252642766596679</v>
      </c>
      <c r="F91" t="n">
        <v>0.0421826169867333</v>
      </c>
      <c r="G91" t="n">
        <v>0.2701077637772492</v>
      </c>
      <c r="H91" t="n">
        <v>1.734558096954857</v>
      </c>
      <c r="I91" t="n">
        <v>84.69536028701393</v>
      </c>
      <c r="J91" t="n">
        <v>1346.102914642638</v>
      </c>
      <c r="K91" t="n">
        <v>842.0183895392881</v>
      </c>
      <c r="L91" t="n">
        <v>1.019550113855075</v>
      </c>
      <c r="M91" t="n">
        <v>-2.885531221158089</v>
      </c>
      <c r="N91" t="n">
        <v>-0.1252642766596679</v>
      </c>
      <c r="O91" t="n">
        <v>-0.1252642766596679</v>
      </c>
      <c r="P91" t="n">
        <v>-0.2715354036560795</v>
      </c>
      <c r="Q91" t="n">
        <v>-0.3670648767269976</v>
      </c>
      <c r="R91" t="n">
        <v>0.3137180206428128</v>
      </c>
      <c r="S91" t="n">
        <v>2.006093500610936</v>
      </c>
      <c r="T91" t="n">
        <v>2.101622973681854</v>
      </c>
      <c r="U91" t="n">
        <v>0.5416431674333286</v>
      </c>
      <c r="V91">
        <f>T91-R91</f>
        <v/>
      </c>
      <c r="W91">
        <f>T91-Settings!$B$5</f>
        <v/>
      </c>
      <c r="X91">
        <f>0.5*(R91+W91)</f>
        <v/>
      </c>
      <c r="Y91">
        <f>AVERAGE(L72:L91)</f>
        <v/>
      </c>
      <c r="Z91">
        <f>AVERAGE(M72:M91)</f>
        <v/>
      </c>
      <c r="AA91">
        <f>AVERAGE(R72:R91)</f>
        <v/>
      </c>
      <c r="AB91">
        <f>AVERAGE(W72:W91)</f>
        <v/>
      </c>
      <c r="AC91">
        <f>AVERAGE(X72:X91)</f>
        <v/>
      </c>
      <c r="AD91">
        <f>0.5*Y91+0.5*AA91</f>
        <v/>
      </c>
      <c r="AE91">
        <f>Settings!$B$3+Settings!$B$4*Z91</f>
        <v/>
      </c>
      <c r="AF91">
        <f>AC91</f>
        <v/>
      </c>
      <c r="AG91">
        <f>0.5*Y91+0.5*AC91</f>
        <v/>
      </c>
      <c r="AH91">
        <f>(AA91+AB91+Y91)/3</f>
        <v/>
      </c>
      <c r="AI91">
        <f>0.7*AA91+0.3*Y91</f>
        <v/>
      </c>
    </row>
    <row r="92">
      <c r="A92" t="inlineStr">
        <is>
          <t>2007-07-01</t>
        </is>
      </c>
      <c r="B92" t="n">
        <v>703910.7713733575</v>
      </c>
      <c r="C92" t="n">
        <v>386771.2723471815</v>
      </c>
      <c r="D92" t="n">
        <v>64.1924249879297</v>
      </c>
      <c r="E92" t="n">
        <v>-0.1090833167854353</v>
      </c>
      <c r="F92" t="n">
        <v>0.0853110539923935</v>
      </c>
      <c r="G92" t="n">
        <v>0.339238889665423</v>
      </c>
      <c r="H92" t="n">
        <v>1.810135469211044</v>
      </c>
      <c r="I92" t="n">
        <v>84.70435610066406</v>
      </c>
      <c r="J92" t="n">
        <v>1346.440688189903</v>
      </c>
      <c r="K92" t="n">
        <v>842.6421739664189</v>
      </c>
      <c r="L92" t="n">
        <v>1.351094189058131</v>
      </c>
      <c r="M92" t="n">
        <v>2.495137708523089</v>
      </c>
      <c r="N92" t="n">
        <v>-0.1090833167854353</v>
      </c>
      <c r="O92" t="n">
        <v>-0.1090833167854353</v>
      </c>
      <c r="P92" t="n">
        <v>-0.1760437817275949</v>
      </c>
      <c r="Q92" t="n">
        <v>-0.3637352323055859</v>
      </c>
      <c r="R92" t="n">
        <v>0.2613548357199884</v>
      </c>
      <c r="S92" t="n">
        <v>1.986179250938639</v>
      </c>
      <c r="T92" t="n">
        <v>2.17387070151663</v>
      </c>
      <c r="U92" t="n">
        <v>0.5152826713930179</v>
      </c>
      <c r="V92">
        <f>T92-R92</f>
        <v/>
      </c>
      <c r="W92">
        <f>T92-Settings!$B$5</f>
        <v/>
      </c>
      <c r="X92">
        <f>0.5*(R92+W92)</f>
        <v/>
      </c>
      <c r="Y92">
        <f>AVERAGE(L73:L92)</f>
        <v/>
      </c>
      <c r="Z92">
        <f>AVERAGE(M73:M92)</f>
        <v/>
      </c>
      <c r="AA92">
        <f>AVERAGE(R73:R92)</f>
        <v/>
      </c>
      <c r="AB92">
        <f>AVERAGE(W73:W92)</f>
        <v/>
      </c>
      <c r="AC92">
        <f>AVERAGE(X73:X92)</f>
        <v/>
      </c>
      <c r="AD92">
        <f>0.5*Y92+0.5*AA92</f>
        <v/>
      </c>
      <c r="AE92">
        <f>Settings!$B$3+Settings!$B$4*Z92</f>
        <v/>
      </c>
      <c r="AF92">
        <f>AC92</f>
        <v/>
      </c>
      <c r="AG92">
        <f>0.5*Y92+0.5*AC92</f>
        <v/>
      </c>
      <c r="AH92">
        <f>(AA92+AB92+Y92)/3</f>
        <v/>
      </c>
      <c r="AI92">
        <f>0.7*AA92+0.3*Y92</f>
        <v/>
      </c>
    </row>
    <row r="93">
      <c r="A93" t="inlineStr">
        <is>
          <t>2007-10-01</t>
        </is>
      </c>
      <c r="B93" t="n">
        <v>704891.3165635825</v>
      </c>
      <c r="C93" t="n">
        <v>388897.5648762297</v>
      </c>
      <c r="D93" t="n">
        <v>64.20945039707881</v>
      </c>
      <c r="E93" t="n">
        <v>-0.0223986312133694</v>
      </c>
      <c r="F93" t="n">
        <v>0.046393348928657</v>
      </c>
      <c r="G93" t="n">
        <v>0.2618822760917005</v>
      </c>
      <c r="H93" t="n">
        <v>1.886096678930206</v>
      </c>
      <c r="I93" t="n">
        <v>84.73633930230545</v>
      </c>
      <c r="J93" t="n">
        <v>1346.579890900767</v>
      </c>
      <c r="K93" t="n">
        <v>843.1526713461336</v>
      </c>
      <c r="L93" t="n">
        <v>0.5568108434581518</v>
      </c>
      <c r="M93" t="n">
        <v>2.041989518858827</v>
      </c>
      <c r="N93" t="n">
        <v>-0.0223986312133694</v>
      </c>
      <c r="O93" t="n">
        <v>-0.0223986312133694</v>
      </c>
      <c r="P93" t="n">
        <v>-0.1063448546896592</v>
      </c>
      <c r="Q93" t="n">
        <v>-0.3529104234995887</v>
      </c>
      <c r="R93" t="n">
        <v>0.1527382036183162</v>
      </c>
      <c r="S93" t="n">
        <v>1.992441533619865</v>
      </c>
      <c r="T93" t="n">
        <v>2.239007102429795</v>
      </c>
      <c r="U93" t="n">
        <v>0.3682271307813597</v>
      </c>
      <c r="V93">
        <f>T93-R93</f>
        <v/>
      </c>
      <c r="W93">
        <f>T93-Settings!$B$5</f>
        <v/>
      </c>
      <c r="X93">
        <f>0.5*(R93+W93)</f>
        <v/>
      </c>
      <c r="Y93">
        <f>AVERAGE(L74:L93)</f>
        <v/>
      </c>
      <c r="Z93">
        <f>AVERAGE(M74:M93)</f>
        <v/>
      </c>
      <c r="AA93">
        <f>AVERAGE(R74:R93)</f>
        <v/>
      </c>
      <c r="AB93">
        <f>AVERAGE(W74:W93)</f>
        <v/>
      </c>
      <c r="AC93">
        <f>AVERAGE(X74:X93)</f>
        <v/>
      </c>
      <c r="AD93">
        <f>0.5*Y93+0.5*AA93</f>
        <v/>
      </c>
      <c r="AE93">
        <f>Settings!$B$3+Settings!$B$4*Z93</f>
        <v/>
      </c>
      <c r="AF93">
        <f>AC93</f>
        <v/>
      </c>
      <c r="AG93">
        <f>0.5*Y93+0.5*AC93</f>
        <v/>
      </c>
      <c r="AH93">
        <f>(AA93+AB93+Y93)/3</f>
        <v/>
      </c>
      <c r="AI93">
        <f>0.7*AA93+0.3*Y93</f>
        <v/>
      </c>
    </row>
    <row r="94">
      <c r="A94" t="inlineStr">
        <is>
          <t>2008-01-01</t>
        </is>
      </c>
      <c r="B94" t="n">
        <v>705486.3369430562</v>
      </c>
      <c r="C94" t="n">
        <v>388692.8597639256</v>
      </c>
      <c r="D94" t="n">
        <v>64.16574474224792</v>
      </c>
      <c r="E94" t="n">
        <v>-0.0971804440841207</v>
      </c>
      <c r="F94" t="n">
        <v>0.1357198241315329</v>
      </c>
      <c r="G94" t="n">
        <v>0.3245683232339621</v>
      </c>
      <c r="H94" t="n">
        <v>1.991278032996545</v>
      </c>
      <c r="I94" t="n">
        <v>84.76595065988707</v>
      </c>
      <c r="J94" t="n">
        <v>1346.664268359996</v>
      </c>
      <c r="K94" t="n">
        <v>843.0650810214369</v>
      </c>
      <c r="L94" t="n">
        <v>0.3375098369133411</v>
      </c>
      <c r="M94" t="n">
        <v>-0.3503612987869928</v>
      </c>
      <c r="N94" t="n">
        <v>-0.0971804440841207</v>
      </c>
      <c r="O94" t="n">
        <v>-0.0971804440841207</v>
      </c>
      <c r="P94" t="n">
        <v>-0.08848166718564833</v>
      </c>
      <c r="Q94" t="n">
        <v>-0.3423006634651018</v>
      </c>
      <c r="R94" t="n">
        <v>0.2242014913171813</v>
      </c>
      <c r="S94" t="n">
        <v>2.079759700182194</v>
      </c>
      <c r="T94" t="n">
        <v>2.333578696461647</v>
      </c>
      <c r="U94" t="n">
        <v>0.4130499904196104</v>
      </c>
      <c r="V94">
        <f>T94-R94</f>
        <v/>
      </c>
      <c r="W94">
        <f>T94-Settings!$B$5</f>
        <v/>
      </c>
      <c r="X94">
        <f>0.5*(R94+W94)</f>
        <v/>
      </c>
      <c r="Y94">
        <f>AVERAGE(L75:L94)</f>
        <v/>
      </c>
      <c r="Z94">
        <f>AVERAGE(M75:M94)</f>
        <v/>
      </c>
      <c r="AA94">
        <f>AVERAGE(R75:R94)</f>
        <v/>
      </c>
      <c r="AB94">
        <f>AVERAGE(W75:W94)</f>
        <v/>
      </c>
      <c r="AC94">
        <f>AVERAGE(X75:X94)</f>
        <v/>
      </c>
      <c r="AD94">
        <f>0.5*Y94+0.5*AA94</f>
        <v/>
      </c>
      <c r="AE94">
        <f>Settings!$B$3+Settings!$B$4*Z94</f>
        <v/>
      </c>
      <c r="AF94">
        <f>AC94</f>
        <v/>
      </c>
      <c r="AG94">
        <f>0.5*Y94+0.5*AC94</f>
        <v/>
      </c>
      <c r="AH94">
        <f>(AA94+AB94+Y94)/3</f>
        <v/>
      </c>
      <c r="AI94">
        <f>0.7*AA94+0.3*Y94</f>
        <v/>
      </c>
    </row>
    <row r="95">
      <c r="A95" t="inlineStr">
        <is>
          <t>2008-04-01</t>
        </is>
      </c>
      <c r="B95" t="n">
        <v>707183.6989034526</v>
      </c>
      <c r="C95" t="n">
        <v>388366.2492761719</v>
      </c>
      <c r="D95" t="n">
        <v>64.0773821211626</v>
      </c>
      <c r="E95" t="n">
        <v>-0.2595617707912572</v>
      </c>
      <c r="F95" t="n">
        <v>0.1998648265373997</v>
      </c>
      <c r="G95" t="n">
        <v>0.3730709078898538</v>
      </c>
      <c r="H95" t="n">
        <v>1.937648056511974</v>
      </c>
      <c r="I95" t="n">
        <v>84.81546054306148</v>
      </c>
      <c r="J95" t="n">
        <v>1346.904573984683</v>
      </c>
      <c r="K95" t="n">
        <v>842.9226270901505</v>
      </c>
      <c r="L95" t="n">
        <v>0.961222498749521</v>
      </c>
      <c r="M95" t="n">
        <v>-0.5698157251454177</v>
      </c>
      <c r="N95" t="n">
        <v>-0.2595617707912572</v>
      </c>
      <c r="O95" t="n">
        <v>-0.2595617707912572</v>
      </c>
      <c r="P95" t="n">
        <v>-0.1220560407185456</v>
      </c>
      <c r="Q95" t="n">
        <v>-0.3396883374755037</v>
      </c>
      <c r="R95" t="n">
        <v>0.3219208672559454</v>
      </c>
      <c r="S95" t="n">
        <v>2.059704097230519</v>
      </c>
      <c r="T95" t="n">
        <v>2.277336393987477</v>
      </c>
      <c r="U95" t="n">
        <v>0.4951269486083995</v>
      </c>
      <c r="V95">
        <f>T95-R95</f>
        <v/>
      </c>
      <c r="W95">
        <f>T95-Settings!$B$5</f>
        <v/>
      </c>
      <c r="X95">
        <f>0.5*(R95+W95)</f>
        <v/>
      </c>
      <c r="Y95">
        <f>AVERAGE(L76:L95)</f>
        <v/>
      </c>
      <c r="Z95">
        <f>AVERAGE(M76:M95)</f>
        <v/>
      </c>
      <c r="AA95">
        <f>AVERAGE(R76:R95)</f>
        <v/>
      </c>
      <c r="AB95">
        <f>AVERAGE(W76:W95)</f>
        <v/>
      </c>
      <c r="AC95">
        <f>AVERAGE(X76:X95)</f>
        <v/>
      </c>
      <c r="AD95">
        <f>0.5*Y95+0.5*AA95</f>
        <v/>
      </c>
      <c r="AE95">
        <f>Settings!$B$3+Settings!$B$4*Z95</f>
        <v/>
      </c>
      <c r="AF95">
        <f>AC95</f>
        <v/>
      </c>
      <c r="AG95">
        <f>0.5*Y95+0.5*AC95</f>
        <v/>
      </c>
      <c r="AH95">
        <f>(AA95+AB95+Y95)/3</f>
        <v/>
      </c>
      <c r="AI95">
        <f>0.7*AA95+0.3*Y95</f>
        <v/>
      </c>
    </row>
    <row r="96">
      <c r="A96" t="inlineStr">
        <is>
          <t>2008-07-01</t>
        </is>
      </c>
      <c r="B96" t="n">
        <v>705904.3325844604</v>
      </c>
      <c r="C96" t="n">
        <v>388039.6128722297</v>
      </c>
      <c r="D96" t="n">
        <v>64.00080416579091</v>
      </c>
      <c r="E96" t="n">
        <v>-0.2989564521017019</v>
      </c>
      <c r="F96" t="n">
        <v>0.0411692640285349</v>
      </c>
      <c r="G96" t="n">
        <v>0.2415128027786545</v>
      </c>
      <c r="H96" t="n">
        <v>1.939909778533175</v>
      </c>
      <c r="I96" t="n">
        <v>84.62067074574647</v>
      </c>
      <c r="J96" t="n">
        <v>1346.723500103927</v>
      </c>
      <c r="K96" t="n">
        <v>843.0684136602252</v>
      </c>
      <c r="L96" t="n">
        <v>-0.7242955230221924</v>
      </c>
      <c r="M96" t="n">
        <v>0.5831462802989336</v>
      </c>
      <c r="N96" t="n">
        <v>-0.2989564521017019</v>
      </c>
      <c r="O96" t="n">
        <v>-0.2989564521017019</v>
      </c>
      <c r="P96" t="n">
        <v>-0.1695243245476123</v>
      </c>
      <c r="Q96" t="n">
        <v>-0.3401349846882377</v>
      </c>
      <c r="R96" t="n">
        <v>0.2106935885761472</v>
      </c>
      <c r="S96" t="n">
        <v>2.109434103080787</v>
      </c>
      <c r="T96" t="n">
        <v>2.280044763221412</v>
      </c>
      <c r="U96" t="n">
        <v>0.4110371273262668</v>
      </c>
      <c r="V96">
        <f>T96-R96</f>
        <v/>
      </c>
      <c r="W96">
        <f>T96-Settings!$B$5</f>
        <v/>
      </c>
      <c r="X96">
        <f>0.5*(R96+W96)</f>
        <v/>
      </c>
      <c r="Y96">
        <f>AVERAGE(L77:L96)</f>
        <v/>
      </c>
      <c r="Z96">
        <f>AVERAGE(M77:M96)</f>
        <v/>
      </c>
      <c r="AA96">
        <f>AVERAGE(R77:R96)</f>
        <v/>
      </c>
      <c r="AB96">
        <f>AVERAGE(W77:W96)</f>
        <v/>
      </c>
      <c r="AC96">
        <f>AVERAGE(X77:X96)</f>
        <v/>
      </c>
      <c r="AD96">
        <f>0.5*Y96+0.5*AA96</f>
        <v/>
      </c>
      <c r="AE96">
        <f>Settings!$B$3+Settings!$B$4*Z96</f>
        <v/>
      </c>
      <c r="AF96">
        <f>AC96</f>
        <v/>
      </c>
      <c r="AG96">
        <f>0.5*Y96+0.5*AC96</f>
        <v/>
      </c>
      <c r="AH96">
        <f>(AA96+AB96+Y96)/3</f>
        <v/>
      </c>
      <c r="AI96">
        <f>0.7*AA96+0.3*Y96</f>
        <v/>
      </c>
    </row>
    <row r="97">
      <c r="A97" t="inlineStr">
        <is>
          <t>2008-10-01</t>
        </is>
      </c>
      <c r="B97" t="n">
        <v>705604.0857625738</v>
      </c>
      <c r="C97" t="n">
        <v>385953.81466015</v>
      </c>
      <c r="D97" t="n">
        <v>63.88184760496056</v>
      </c>
      <c r="E97" t="n">
        <v>-0.511515632261783</v>
      </c>
      <c r="F97" t="n">
        <v>0.0581268297957403</v>
      </c>
      <c r="G97" t="n">
        <v>0.2491488886791826</v>
      </c>
      <c r="H97" t="n">
        <v>1.973877605597854</v>
      </c>
      <c r="I97" t="n">
        <v>84.69676500783227</v>
      </c>
      <c r="J97" t="n">
        <v>1346.680957413779</v>
      </c>
      <c r="K97" t="n">
        <v>842.4395582752162</v>
      </c>
      <c r="L97" t="n">
        <v>-0.1701707605925549</v>
      </c>
      <c r="M97" t="n">
        <v>-2.515421540036186</v>
      </c>
      <c r="N97" t="n">
        <v>-0.511515632261783</v>
      </c>
      <c r="O97" t="n">
        <v>-0.511515632261783</v>
      </c>
      <c r="P97" t="n">
        <v>-0.2918035748097157</v>
      </c>
      <c r="Q97" t="n">
        <v>-0.3523755862488956</v>
      </c>
      <c r="R97" t="n">
        <v>0.349930404605456</v>
      </c>
      <c r="S97" t="n">
        <v>2.26568118040757</v>
      </c>
      <c r="T97" t="n">
        <v>2.32625319184675</v>
      </c>
      <c r="U97" t="n">
        <v>0.5409524634888982</v>
      </c>
      <c r="V97">
        <f>T97-R97</f>
        <v/>
      </c>
      <c r="W97">
        <f>T97-Settings!$B$5</f>
        <v/>
      </c>
      <c r="X97">
        <f>0.5*(R97+W97)</f>
        <v/>
      </c>
      <c r="Y97">
        <f>AVERAGE(L78:L97)</f>
        <v/>
      </c>
      <c r="Z97">
        <f>AVERAGE(M78:M97)</f>
        <v/>
      </c>
      <c r="AA97">
        <f>AVERAGE(R78:R97)</f>
        <v/>
      </c>
      <c r="AB97">
        <f>AVERAGE(W78:W97)</f>
        <v/>
      </c>
      <c r="AC97">
        <f>AVERAGE(X78:X97)</f>
        <v/>
      </c>
      <c r="AD97">
        <f>0.5*Y97+0.5*AA97</f>
        <v/>
      </c>
      <c r="AE97">
        <f>Settings!$B$3+Settings!$B$4*Z97</f>
        <v/>
      </c>
      <c r="AF97">
        <f>AC97</f>
        <v/>
      </c>
      <c r="AG97">
        <f>0.5*Y97+0.5*AC97</f>
        <v/>
      </c>
      <c r="AH97">
        <f>(AA97+AB97+Y97)/3</f>
        <v/>
      </c>
      <c r="AI97">
        <f>0.7*AA97+0.3*Y97</f>
        <v/>
      </c>
    </row>
    <row r="98">
      <c r="A98" t="inlineStr">
        <is>
          <t>2009-01-01</t>
        </is>
      </c>
      <c r="B98" t="n">
        <v>706056.5307213841</v>
      </c>
      <c r="C98" t="n">
        <v>387961.3069906061</v>
      </c>
      <c r="D98" t="n">
        <v>63.7914485178321</v>
      </c>
      <c r="E98" t="n">
        <v>-0.5850351706743651</v>
      </c>
      <c r="F98" t="n">
        <v>0.1117724184154965</v>
      </c>
      <c r="G98" t="n">
        <v>0.281320381243632</v>
      </c>
      <c r="H98" t="n">
        <v>2.055402594071825</v>
      </c>
      <c r="I98" t="n">
        <v>84.61218762402008</v>
      </c>
      <c r="J98" t="n">
        <v>1346.745058511312</v>
      </c>
      <c r="K98" t="n">
        <v>843.0582571395676</v>
      </c>
      <c r="L98" t="n">
        <v>0.2564043901311379</v>
      </c>
      <c r="M98" t="n">
        <v>2.474795457405435</v>
      </c>
      <c r="N98" t="n">
        <v>-0.5850351706743651</v>
      </c>
      <c r="O98" t="n">
        <v>-0.5850351706743651</v>
      </c>
      <c r="P98" t="n">
        <v>-0.4137672564572768</v>
      </c>
      <c r="Q98" t="n">
        <v>-0.3709200847410461</v>
      </c>
      <c r="R98" t="n">
        <v>0.5255396748727733</v>
      </c>
      <c r="S98" t="n">
        <v>2.469169850529102</v>
      </c>
      <c r="T98" t="n">
        <v>2.426322678812871</v>
      </c>
      <c r="U98" t="n">
        <v>0.6950876377009088</v>
      </c>
      <c r="V98">
        <f>T98-R98</f>
        <v/>
      </c>
      <c r="W98">
        <f>T98-Settings!$B$5</f>
        <v/>
      </c>
      <c r="X98">
        <f>0.5*(R98+W98)</f>
        <v/>
      </c>
      <c r="Y98">
        <f>AVERAGE(L79:L98)</f>
        <v/>
      </c>
      <c r="Z98">
        <f>AVERAGE(M79:M98)</f>
        <v/>
      </c>
      <c r="AA98">
        <f>AVERAGE(R79:R98)</f>
        <v/>
      </c>
      <c r="AB98">
        <f>AVERAGE(W79:W98)</f>
        <v/>
      </c>
      <c r="AC98">
        <f>AVERAGE(X79:X98)</f>
        <v/>
      </c>
      <c r="AD98">
        <f>0.5*Y98+0.5*AA98</f>
        <v/>
      </c>
      <c r="AE98">
        <f>Settings!$B$3+Settings!$B$4*Z98</f>
        <v/>
      </c>
      <c r="AF98">
        <f>AC98</f>
        <v/>
      </c>
      <c r="AG98">
        <f>0.5*Y98+0.5*AC98</f>
        <v/>
      </c>
      <c r="AH98">
        <f>(AA98+AB98+Y98)/3</f>
        <v/>
      </c>
      <c r="AI98">
        <f>0.7*AA98+0.3*Y98</f>
        <v/>
      </c>
    </row>
    <row r="99">
      <c r="A99" t="inlineStr">
        <is>
          <t>2009-04-01</t>
        </is>
      </c>
      <c r="B99" t="n">
        <v>707690.1159411968</v>
      </c>
      <c r="C99" t="n">
        <v>388815.0411080632</v>
      </c>
      <c r="D99" t="n">
        <v>63.7265092054644</v>
      </c>
      <c r="E99" t="n">
        <v>-0.5490815554928876</v>
      </c>
      <c r="F99" t="n">
        <v>0.180555807424981</v>
      </c>
      <c r="G99" t="n">
        <v>0.4420184769508797</v>
      </c>
      <c r="H99" t="n">
        <v>2.033497148137553</v>
      </c>
      <c r="I99" t="n">
        <v>84.56743761766269</v>
      </c>
      <c r="J99" t="n">
        <v>1346.976158751332</v>
      </c>
      <c r="K99" t="n">
        <v>843.3309742414164</v>
      </c>
      <c r="L99" t="n">
        <v>0.9244009600815843</v>
      </c>
      <c r="M99" t="n">
        <v>1.090868407395192</v>
      </c>
      <c r="N99" t="n">
        <v>-0.5490815554928876</v>
      </c>
      <c r="O99" t="n">
        <v>-0.5490815554928876</v>
      </c>
      <c r="P99" t="n">
        <v>-0.4861472026326843</v>
      </c>
      <c r="Q99" t="n">
        <v>-0.3859320966419764</v>
      </c>
      <c r="R99" t="n">
        <v>0.6667030100576654</v>
      </c>
      <c r="S99" t="n">
        <v>2.519644350770237</v>
      </c>
      <c r="T99" t="n">
        <v>2.419429244779529</v>
      </c>
      <c r="U99" t="n">
        <v>0.928165679583564</v>
      </c>
      <c r="V99">
        <f>T99-R99</f>
        <v/>
      </c>
      <c r="W99">
        <f>T99-Settings!$B$5</f>
        <v/>
      </c>
      <c r="X99">
        <f>0.5*(R99+W99)</f>
        <v/>
      </c>
      <c r="Y99">
        <f>AVERAGE(L80:L99)</f>
        <v/>
      </c>
      <c r="Z99">
        <f>AVERAGE(M80:M99)</f>
        <v/>
      </c>
      <c r="AA99">
        <f>AVERAGE(R80:R99)</f>
        <v/>
      </c>
      <c r="AB99">
        <f>AVERAGE(W80:W99)</f>
        <v/>
      </c>
      <c r="AC99">
        <f>AVERAGE(X80:X99)</f>
        <v/>
      </c>
      <c r="AD99">
        <f>0.5*Y99+0.5*AA99</f>
        <v/>
      </c>
      <c r="AE99">
        <f>Settings!$B$3+Settings!$B$4*Z99</f>
        <v/>
      </c>
      <c r="AF99">
        <f>AC99</f>
        <v/>
      </c>
      <c r="AG99">
        <f>0.5*Y99+0.5*AC99</f>
        <v/>
      </c>
      <c r="AH99">
        <f>(AA99+AB99+Y99)/3</f>
        <v/>
      </c>
      <c r="AI99">
        <f>0.7*AA99+0.3*Y99</f>
        <v/>
      </c>
    </row>
    <row r="100">
      <c r="A100" t="inlineStr">
        <is>
          <t>2009-07-01</t>
        </is>
      </c>
      <c r="B100" t="n">
        <v>712781.0720877351</v>
      </c>
      <c r="C100" t="n">
        <v>392393.828618955</v>
      </c>
      <c r="D100" t="n">
        <v>63.7171222660792</v>
      </c>
      <c r="E100" t="n">
        <v>-0.4442326526245873</v>
      </c>
      <c r="F100" t="n">
        <v>0.0388812843730048</v>
      </c>
      <c r="G100" t="n">
        <v>0.2924363364351687</v>
      </c>
      <c r="H100" t="n">
        <v>1.975224155581575</v>
      </c>
      <c r="I100" t="n">
        <v>84.57162972258631</v>
      </c>
      <c r="J100" t="n">
        <v>1347.692960047603</v>
      </c>
      <c r="K100" t="n">
        <v>844.2422414976523</v>
      </c>
      <c r="L100" t="n">
        <v>2.86720518508173</v>
      </c>
      <c r="M100" t="n">
        <v>3.64506902494395</v>
      </c>
      <c r="N100" t="n">
        <v>-0.4442326526245873</v>
      </c>
      <c r="O100" t="n">
        <v>-0.4442326526245873</v>
      </c>
      <c r="P100" t="n">
        <v>-0.5224662527634057</v>
      </c>
      <c r="Q100" t="n">
        <v>-0.3921838984891959</v>
      </c>
      <c r="R100" t="n">
        <v>0.5613475371364105</v>
      </c>
      <c r="S100" t="n">
        <v>2.49769040834498</v>
      </c>
      <c r="T100" t="n">
        <v>2.367408054070771</v>
      </c>
      <c r="U100" t="n">
        <v>0.8149025891985744</v>
      </c>
      <c r="V100">
        <f>T100-R100</f>
        <v/>
      </c>
      <c r="W100">
        <f>T100-Settings!$B$5</f>
        <v/>
      </c>
      <c r="X100">
        <f>0.5*(R100+W100)</f>
        <v/>
      </c>
      <c r="Y100">
        <f>AVERAGE(L81:L100)</f>
        <v/>
      </c>
      <c r="Z100">
        <f>AVERAGE(M81:M100)</f>
        <v/>
      </c>
      <c r="AA100">
        <f>AVERAGE(R81:R100)</f>
        <v/>
      </c>
      <c r="AB100">
        <f>AVERAGE(W81:W100)</f>
        <v/>
      </c>
      <c r="AC100">
        <f>AVERAGE(X81:X100)</f>
        <v/>
      </c>
      <c r="AD100">
        <f>0.5*Y100+0.5*AA100</f>
        <v/>
      </c>
      <c r="AE100">
        <f>Settings!$B$3+Settings!$B$4*Z100</f>
        <v/>
      </c>
      <c r="AF100">
        <f>AC100</f>
        <v/>
      </c>
      <c r="AG100">
        <f>0.5*Y100+0.5*AC100</f>
        <v/>
      </c>
      <c r="AH100">
        <f>(AA100+AB100+Y100)/3</f>
        <v/>
      </c>
      <c r="AI100">
        <f>0.7*AA100+0.3*Y100</f>
        <v/>
      </c>
    </row>
    <row r="101">
      <c r="A101" t="inlineStr">
        <is>
          <t>2009-10-01</t>
        </is>
      </c>
      <c r="B101" t="n">
        <v>715540.2110698569</v>
      </c>
      <c r="C101" t="n">
        <v>392673.8965907791</v>
      </c>
      <c r="D101" t="n">
        <v>63.75157561218344</v>
      </c>
      <c r="E101" t="n">
        <v>-0.2041346768447623</v>
      </c>
      <c r="F101" t="n">
        <v>0.1124518061153471</v>
      </c>
      <c r="G101" t="n">
        <v>0.3465332666220099</v>
      </c>
      <c r="H101" t="n">
        <v>1.724371963317942</v>
      </c>
      <c r="I101" t="n">
        <v>84.52809582418401</v>
      </c>
      <c r="J101" t="n">
        <v>1348.079307635736</v>
      </c>
      <c r="K101" t="n">
        <v>844.3650792666773</v>
      </c>
      <c r="L101" t="n">
        <v>1.545390352531285</v>
      </c>
      <c r="M101" t="n">
        <v>0.4913510760998179</v>
      </c>
      <c r="N101" t="n">
        <v>-0.2041346768447623</v>
      </c>
      <c r="O101" t="n">
        <v>-0.2041346768447623</v>
      </c>
      <c r="P101" t="n">
        <v>-0.4456210139091505</v>
      </c>
      <c r="Q101" t="n">
        <v>-0.3910180273508565</v>
      </c>
      <c r="R101" t="n">
        <v>0.5580728200244977</v>
      </c>
      <c r="S101" t="n">
        <v>2.169992977227092</v>
      </c>
      <c r="T101" t="n">
        <v>2.115389990668798</v>
      </c>
      <c r="U101" t="n">
        <v>0.7921542805311604</v>
      </c>
      <c r="V101">
        <f>T101-R101</f>
        <v/>
      </c>
      <c r="W101">
        <f>T101-Settings!$B$5</f>
        <v/>
      </c>
      <c r="X101">
        <f>0.5*(R101+W101)</f>
        <v/>
      </c>
      <c r="Y101">
        <f>AVERAGE(L82:L101)</f>
        <v/>
      </c>
      <c r="Z101">
        <f>AVERAGE(M82:M101)</f>
        <v/>
      </c>
      <c r="AA101">
        <f>AVERAGE(R82:R101)</f>
        <v/>
      </c>
      <c r="AB101">
        <f>AVERAGE(W82:W101)</f>
        <v/>
      </c>
      <c r="AC101">
        <f>AVERAGE(X82:X101)</f>
        <v/>
      </c>
      <c r="AD101">
        <f>0.5*Y101+0.5*AA101</f>
        <v/>
      </c>
      <c r="AE101">
        <f>Settings!$B$3+Settings!$B$4*Z101</f>
        <v/>
      </c>
      <c r="AF101">
        <f>AC101</f>
        <v/>
      </c>
      <c r="AG101">
        <f>0.5*Y101+0.5*AC101</f>
        <v/>
      </c>
      <c r="AH101">
        <f>(AA101+AB101+Y101)/3</f>
        <v/>
      </c>
      <c r="AI101">
        <f>0.7*AA101+0.3*Y101</f>
        <v/>
      </c>
    </row>
    <row r="102">
      <c r="A102" t="inlineStr">
        <is>
          <t>2010-01-01</t>
        </is>
      </c>
      <c r="B102" t="n">
        <v>719829.8044176549</v>
      </c>
      <c r="C102" t="n">
        <v>396653.8375678812</v>
      </c>
      <c r="D102" t="n">
        <v>63.63777643256835</v>
      </c>
      <c r="E102" t="n">
        <v>-0.2411882514680164</v>
      </c>
      <c r="F102" t="n">
        <v>0.1910649425406554</v>
      </c>
      <c r="G102" t="n">
        <v>0.3634394306063817</v>
      </c>
      <c r="H102" t="n">
        <v>1.959274287677809</v>
      </c>
      <c r="I102" t="n">
        <v>84.50551978628062</v>
      </c>
      <c r="J102" t="n">
        <v>1348.677008029618</v>
      </c>
      <c r="K102" t="n">
        <v>845.4002378486491</v>
      </c>
      <c r="L102" t="n">
        <v>2.390801575527803</v>
      </c>
      <c r="M102" t="n">
        <v>4.140634327887255</v>
      </c>
      <c r="N102" t="n">
        <v>-0.2411882514680164</v>
      </c>
      <c r="O102" t="n">
        <v>-0.2411882514680164</v>
      </c>
      <c r="P102" t="n">
        <v>-0.3596592841075634</v>
      </c>
      <c r="Q102" t="n">
        <v>-0.3822764813432314</v>
      </c>
      <c r="R102" t="n">
        <v>0.5507242266482189</v>
      </c>
      <c r="S102" t="n">
        <v>2.318933571785372</v>
      </c>
      <c r="T102" t="n">
        <v>2.34155076902104</v>
      </c>
      <c r="U102" t="n">
        <v>0.7230987147139452</v>
      </c>
      <c r="V102">
        <f>T102-R102</f>
        <v/>
      </c>
      <c r="W102">
        <f>T102-Settings!$B$5</f>
        <v/>
      </c>
      <c r="X102">
        <f>0.5*(R102+W102)</f>
        <v/>
      </c>
      <c r="Y102">
        <f>AVERAGE(L83:L102)</f>
        <v/>
      </c>
      <c r="Z102">
        <f>AVERAGE(M83:M102)</f>
        <v/>
      </c>
      <c r="AA102">
        <f>AVERAGE(R83:R102)</f>
        <v/>
      </c>
      <c r="AB102">
        <f>AVERAGE(W83:W102)</f>
        <v/>
      </c>
      <c r="AC102">
        <f>AVERAGE(X83:X102)</f>
        <v/>
      </c>
      <c r="AD102">
        <f>0.5*Y102+0.5*AA102</f>
        <v/>
      </c>
      <c r="AE102">
        <f>Settings!$B$3+Settings!$B$4*Z102</f>
        <v/>
      </c>
      <c r="AF102">
        <f>AC102</f>
        <v/>
      </c>
      <c r="AG102">
        <f>0.5*Y102+0.5*AC102</f>
        <v/>
      </c>
      <c r="AH102">
        <f>(AA102+AB102+Y102)/3</f>
        <v/>
      </c>
      <c r="AI102">
        <f>0.7*AA102+0.3*Y102</f>
        <v/>
      </c>
    </row>
    <row r="103">
      <c r="A103" t="inlineStr">
        <is>
          <t>2010-04-01</t>
        </is>
      </c>
      <c r="B103" t="n">
        <v>728111.4079752194</v>
      </c>
      <c r="C103" t="n">
        <v>402086.7783787547</v>
      </c>
      <c r="D103" t="n">
        <v>63.60880369748921</v>
      </c>
      <c r="E103" t="n">
        <v>-0.1848749397429402</v>
      </c>
      <c r="F103" t="n">
        <v>0.0174120425910366</v>
      </c>
      <c r="G103" t="n">
        <v>0.243062622319955</v>
      </c>
      <c r="H103" t="n">
        <v>1.730711516958694</v>
      </c>
      <c r="I103" t="n">
        <v>84.45458334185867</v>
      </c>
      <c r="J103" t="n">
        <v>1349.820934840347</v>
      </c>
      <c r="K103" t="n">
        <v>846.8209296291875</v>
      </c>
      <c r="L103" t="n">
        <v>4.575707242918725</v>
      </c>
      <c r="M103" t="n">
        <v>5.682767122153564</v>
      </c>
      <c r="N103" t="n">
        <v>-0.1848749397429402</v>
      </c>
      <c r="O103" t="n">
        <v>-0.1848749397429402</v>
      </c>
      <c r="P103" t="n">
        <v>-0.2686076301700766</v>
      </c>
      <c r="Q103" t="n">
        <v>-0.3668543939887547</v>
      </c>
      <c r="R103" t="n">
        <v>0.2860196727611132</v>
      </c>
      <c r="S103" t="n">
        <v>1.999319147128771</v>
      </c>
      <c r="T103" t="n">
        <v>2.097565910947449</v>
      </c>
      <c r="U103" t="n">
        <v>0.5116702524900316</v>
      </c>
      <c r="V103">
        <f>T103-R103</f>
        <v/>
      </c>
      <c r="W103">
        <f>T103-Settings!$B$5</f>
        <v/>
      </c>
      <c r="X103">
        <f>0.5*(R103+W103)</f>
        <v/>
      </c>
      <c r="Y103">
        <f>AVERAGE(L84:L103)</f>
        <v/>
      </c>
      <c r="Z103">
        <f>AVERAGE(M84:M103)</f>
        <v/>
      </c>
      <c r="AA103">
        <f>AVERAGE(R84:R103)</f>
        <v/>
      </c>
      <c r="AB103">
        <f>AVERAGE(W84:W103)</f>
        <v/>
      </c>
      <c r="AC103">
        <f>AVERAGE(X84:X103)</f>
        <v/>
      </c>
      <c r="AD103">
        <f>0.5*Y103+0.5*AA103</f>
        <v/>
      </c>
      <c r="AE103">
        <f>Settings!$B$3+Settings!$B$4*Z103</f>
        <v/>
      </c>
      <c r="AF103">
        <f>AC103</f>
        <v/>
      </c>
      <c r="AG103">
        <f>0.5*Y103+0.5*AC103</f>
        <v/>
      </c>
      <c r="AH103">
        <f>(AA103+AB103+Y103)/3</f>
        <v/>
      </c>
      <c r="AI103">
        <f>0.7*AA103+0.3*Y103</f>
        <v/>
      </c>
    </row>
    <row r="104">
      <c r="A104" t="inlineStr">
        <is>
          <t>2010-07-01</t>
        </is>
      </c>
      <c r="B104" t="n">
        <v>733067.3195003055</v>
      </c>
      <c r="C104" t="n">
        <v>403437.7720170788</v>
      </c>
      <c r="D104" t="n">
        <v>63.51153073098921</v>
      </c>
      <c r="E104" t="n">
        <v>-0.3231846116331505</v>
      </c>
      <c r="F104" t="n">
        <v>0.0359465396577084</v>
      </c>
      <c r="G104" t="n">
        <v>0.2551353319426454</v>
      </c>
      <c r="H104" t="n">
        <v>1.847869125770448</v>
      </c>
      <c r="I104" t="n">
        <v>84.38009451701006</v>
      </c>
      <c r="J104" t="n">
        <v>1350.499281771619</v>
      </c>
      <c r="K104" t="n">
        <v>847.2446007440459</v>
      </c>
      <c r="L104" t="n">
        <v>2.713387725088069</v>
      </c>
      <c r="M104" t="n">
        <v>1.694684459433574</v>
      </c>
      <c r="N104" t="n">
        <v>-0.3231846116331505</v>
      </c>
      <c r="O104" t="n">
        <v>-0.3231846116331505</v>
      </c>
      <c r="P104" t="n">
        <v>-0.2383456199222174</v>
      </c>
      <c r="Q104" t="n">
        <v>-0.3532303781158584</v>
      </c>
      <c r="R104" t="n">
        <v>0.2742921595799258</v>
      </c>
      <c r="S104" t="n">
        <v>2.086214745692665</v>
      </c>
      <c r="T104" t="n">
        <v>2.201099503886307</v>
      </c>
      <c r="U104" t="n">
        <v>0.4934809518648628</v>
      </c>
      <c r="V104">
        <f>T104-R104</f>
        <v/>
      </c>
      <c r="W104">
        <f>T104-Settings!$B$5</f>
        <v/>
      </c>
      <c r="X104">
        <f>0.5*(R104+W104)</f>
        <v/>
      </c>
      <c r="Y104">
        <f>AVERAGE(L85:L104)</f>
        <v/>
      </c>
      <c r="Z104">
        <f>AVERAGE(M85:M104)</f>
        <v/>
      </c>
      <c r="AA104">
        <f>AVERAGE(R85:R104)</f>
        <v/>
      </c>
      <c r="AB104">
        <f>AVERAGE(W85:W104)</f>
        <v/>
      </c>
      <c r="AC104">
        <f>AVERAGE(X85:X104)</f>
        <v/>
      </c>
      <c r="AD104">
        <f>0.5*Y104+0.5*AA104</f>
        <v/>
      </c>
      <c r="AE104">
        <f>Settings!$B$3+Settings!$B$4*Z104</f>
        <v/>
      </c>
      <c r="AF104">
        <f>AC104</f>
        <v/>
      </c>
      <c r="AG104">
        <f>0.5*Y104+0.5*AC104</f>
        <v/>
      </c>
      <c r="AH104">
        <f>(AA104+AB104+Y104)/3</f>
        <v/>
      </c>
      <c r="AI104">
        <f>0.7*AA104+0.3*Y104</f>
        <v/>
      </c>
    </row>
    <row r="105">
      <c r="A105" t="inlineStr">
        <is>
          <t>2010-10-01</t>
        </is>
      </c>
      <c r="B105" t="n">
        <v>740614.5312595391</v>
      </c>
      <c r="C105" t="n">
        <v>407911.5305862899</v>
      </c>
      <c r="D105" t="n">
        <v>63.48651356540217</v>
      </c>
      <c r="E105" t="n">
        <v>-0.4166400673358591</v>
      </c>
      <c r="F105" t="n">
        <v>0.0788196696769581</v>
      </c>
      <c r="G105" t="n">
        <v>0.2920960384030797</v>
      </c>
      <c r="H105" t="n">
        <v>1.821674747757284</v>
      </c>
      <c r="I105" t="n">
        <v>84.34781873987389</v>
      </c>
      <c r="J105" t="n">
        <v>1351.523556819752</v>
      </c>
      <c r="K105" t="n">
        <v>848.385664405186</v>
      </c>
      <c r="L105" t="n">
        <v>4.097100192529069</v>
      </c>
      <c r="M105" t="n">
        <v>4.564254644560606</v>
      </c>
      <c r="N105" t="n">
        <v>-0.4166400673358591</v>
      </c>
      <c r="O105" t="n">
        <v>-0.4166400673358591</v>
      </c>
      <c r="P105" t="n">
        <v>-0.2914719675449916</v>
      </c>
      <c r="Q105" t="n">
        <v>-0.3324173781710763</v>
      </c>
      <c r="R105" t="n">
        <v>0.3702916372219496</v>
      </c>
      <c r="S105" t="n">
        <v>2.113146715302276</v>
      </c>
      <c r="T105" t="n">
        <v>2.154092125928361</v>
      </c>
      <c r="U105" t="n">
        <v>0.5835680059480712</v>
      </c>
      <c r="V105">
        <f>T105-R105</f>
        <v/>
      </c>
      <c r="W105">
        <f>T105-Settings!$B$5</f>
        <v/>
      </c>
      <c r="X105">
        <f>0.5*(R105+W105)</f>
        <v/>
      </c>
      <c r="Y105">
        <f>AVERAGE(L86:L105)</f>
        <v/>
      </c>
      <c r="Z105">
        <f>AVERAGE(M86:M105)</f>
        <v/>
      </c>
      <c r="AA105">
        <f>AVERAGE(R86:R105)</f>
        <v/>
      </c>
      <c r="AB105">
        <f>AVERAGE(W86:W105)</f>
        <v/>
      </c>
      <c r="AC105">
        <f>AVERAGE(X86:X105)</f>
        <v/>
      </c>
      <c r="AD105">
        <f>0.5*Y105+0.5*AA105</f>
        <v/>
      </c>
      <c r="AE105">
        <f>Settings!$B$3+Settings!$B$4*Z105</f>
        <v/>
      </c>
      <c r="AF105">
        <f>AC105</f>
        <v/>
      </c>
      <c r="AG105">
        <f>0.5*Y105+0.5*AC105</f>
        <v/>
      </c>
      <c r="AH105">
        <f>(AA105+AB105+Y105)/3</f>
        <v/>
      </c>
      <c r="AI105">
        <f>0.7*AA105+0.3*Y105</f>
        <v/>
      </c>
    </row>
    <row r="106">
      <c r="A106" t="inlineStr">
        <is>
          <t>2011-01-01</t>
        </is>
      </c>
      <c r="B106" t="n">
        <v>744525.1568023564</v>
      </c>
      <c r="C106" t="n">
        <v>409575.9115836868</v>
      </c>
      <c r="D106" t="n">
        <v>63.43267984161355</v>
      </c>
      <c r="E106" t="n">
        <v>-0.3228079524841606</v>
      </c>
      <c r="F106" t="n">
        <v>0.07397057935722939</v>
      </c>
      <c r="G106" t="n">
        <v>0.3114605373685428</v>
      </c>
      <c r="H106" t="n">
        <v>1.857354795162256</v>
      </c>
      <c r="I106" t="n">
        <v>84.43266224416406</v>
      </c>
      <c r="J106" t="n">
        <v>1352.050192073325</v>
      </c>
      <c r="K106" t="n">
        <v>848.6923221214403</v>
      </c>
      <c r="L106" t="n">
        <v>2.106541014293725</v>
      </c>
      <c r="M106" t="n">
        <v>1.226630865016887</v>
      </c>
      <c r="N106" t="n">
        <v>-0.3228079524841606</v>
      </c>
      <c r="O106" t="n">
        <v>-0.3228079524841606</v>
      </c>
      <c r="P106" t="n">
        <v>-0.3118768927990276</v>
      </c>
      <c r="Q106" t="n">
        <v>-0.3118432572245803</v>
      </c>
      <c r="R106" t="n">
        <v>0.385847472156257</v>
      </c>
      <c r="S106" t="n">
        <v>2.169231687961283</v>
      </c>
      <c r="T106" t="n">
        <v>2.169198052386836</v>
      </c>
      <c r="U106" t="n">
        <v>0.6233374301675705</v>
      </c>
      <c r="V106">
        <f>T106-R106</f>
        <v/>
      </c>
      <c r="W106">
        <f>T106-Settings!$B$5</f>
        <v/>
      </c>
      <c r="X106">
        <f>0.5*(R106+W106)</f>
        <v/>
      </c>
      <c r="Y106">
        <f>AVERAGE(L87:L106)</f>
        <v/>
      </c>
      <c r="Z106">
        <f>AVERAGE(M87:M106)</f>
        <v/>
      </c>
      <c r="AA106">
        <f>AVERAGE(R87:R106)</f>
        <v/>
      </c>
      <c r="AB106">
        <f>AVERAGE(W87:W106)</f>
        <v/>
      </c>
      <c r="AC106">
        <f>AVERAGE(X87:X106)</f>
        <v/>
      </c>
      <c r="AD106">
        <f>0.5*Y106+0.5*AA106</f>
        <v/>
      </c>
      <c r="AE106">
        <f>Settings!$B$3+Settings!$B$4*Z106</f>
        <v/>
      </c>
      <c r="AF106">
        <f>AC106</f>
        <v/>
      </c>
      <c r="AG106">
        <f>0.5*Y106+0.5*AC106</f>
        <v/>
      </c>
      <c r="AH106">
        <f>(AA106+AB106+Y106)/3</f>
        <v/>
      </c>
      <c r="AI106">
        <f>0.7*AA106+0.3*Y106</f>
        <v/>
      </c>
    </row>
    <row r="107">
      <c r="A107" t="inlineStr">
        <is>
          <t>2011-04-01</t>
        </is>
      </c>
      <c r="B107" t="n">
        <v>750013.2118202305</v>
      </c>
      <c r="C107" t="n">
        <v>412507.4057522041</v>
      </c>
      <c r="D107" t="n">
        <v>63.29814375708803</v>
      </c>
      <c r="E107" t="n">
        <v>-0.4895879495422193</v>
      </c>
      <c r="F107" t="n">
        <v>0.1406300643876822</v>
      </c>
      <c r="G107" t="n">
        <v>0.3596911986735206</v>
      </c>
      <c r="H107" t="n">
        <v>2.128847552408087</v>
      </c>
      <c r="I107" t="n">
        <v>84.36116499549571</v>
      </c>
      <c r="J107" t="n">
        <v>1352.784610111764</v>
      </c>
      <c r="K107" t="n">
        <v>849.4902272610071</v>
      </c>
      <c r="L107" t="n">
        <v>2.937672153757376</v>
      </c>
      <c r="M107" t="n">
        <v>3.191620558267459</v>
      </c>
      <c r="N107" t="n">
        <v>-0.4895879495422193</v>
      </c>
      <c r="O107" t="n">
        <v>-0.4895879495422193</v>
      </c>
      <c r="P107" t="n">
        <v>-0.3880551452488474</v>
      </c>
      <c r="Q107" t="n">
        <v>-0.3072802844852467</v>
      </c>
      <c r="R107" t="n">
        <v>0.5286852096365297</v>
      </c>
      <c r="S107" t="n">
        <v>2.516902697656935</v>
      </c>
      <c r="T107" t="n">
        <v>2.436127836893334</v>
      </c>
      <c r="U107" t="n">
        <v>0.7477463439223681</v>
      </c>
      <c r="V107">
        <f>T107-R107</f>
        <v/>
      </c>
      <c r="W107">
        <f>T107-Settings!$B$5</f>
        <v/>
      </c>
      <c r="X107">
        <f>0.5*(R107+W107)</f>
        <v/>
      </c>
      <c r="Y107">
        <f>AVERAGE(L88:L107)</f>
        <v/>
      </c>
      <c r="Z107">
        <f>AVERAGE(M88:M107)</f>
        <v/>
      </c>
      <c r="AA107">
        <f>AVERAGE(R88:R107)</f>
        <v/>
      </c>
      <c r="AB107">
        <f>AVERAGE(W88:W107)</f>
        <v/>
      </c>
      <c r="AC107">
        <f>AVERAGE(X88:X107)</f>
        <v/>
      </c>
      <c r="AD107">
        <f>0.5*Y107+0.5*AA107</f>
        <v/>
      </c>
      <c r="AE107">
        <f>Settings!$B$3+Settings!$B$4*Z107</f>
        <v/>
      </c>
      <c r="AF107">
        <f>AC107</f>
        <v/>
      </c>
      <c r="AG107">
        <f>0.5*Y107+0.5*AC107</f>
        <v/>
      </c>
      <c r="AH107">
        <f>(AA107+AB107+Y107)/3</f>
        <v/>
      </c>
      <c r="AI107">
        <f>0.7*AA107+0.3*Y107</f>
        <v/>
      </c>
    </row>
    <row r="108">
      <c r="A108" t="inlineStr">
        <is>
          <t>2011-07-01</t>
        </is>
      </c>
      <c r="B108" t="n">
        <v>753669.2315109738</v>
      </c>
      <c r="C108" t="n">
        <v>413323.4068136002</v>
      </c>
      <c r="D108" t="n">
        <v>63.29473984811365</v>
      </c>
      <c r="E108" t="n">
        <v>-0.3419248797377678</v>
      </c>
      <c r="F108" t="n">
        <v>0.1120829859910419</v>
      </c>
      <c r="G108" t="n">
        <v>0.3342834130801719</v>
      </c>
      <c r="H108" t="n">
        <v>1.895111006349004</v>
      </c>
      <c r="I108" t="n">
        <v>84.32019555501718</v>
      </c>
      <c r="J108" t="n">
        <v>1353.270886574097</v>
      </c>
      <c r="K108" t="n">
        <v>849.7364228859947</v>
      </c>
      <c r="L108" t="n">
        <v>1.945105849330503</v>
      </c>
      <c r="M108" t="n">
        <v>0.9847824999501427</v>
      </c>
      <c r="N108" t="n">
        <v>-0.3419248797377678</v>
      </c>
      <c r="O108" t="n">
        <v>-0.3419248797377678</v>
      </c>
      <c r="P108" t="n">
        <v>-0.3927402122750017</v>
      </c>
      <c r="Q108" t="n">
        <v>-0.2998240382471664</v>
      </c>
      <c r="R108" t="n">
        <v>0.5048231982660436</v>
      </c>
      <c r="S108" t="n">
        <v>2.287851218624006</v>
      </c>
      <c r="T108" t="n">
        <v>2.19493504459617</v>
      </c>
      <c r="U108" t="n">
        <v>0.7270236253551736</v>
      </c>
      <c r="V108">
        <f>T108-R108</f>
        <v/>
      </c>
      <c r="W108">
        <f>T108-Settings!$B$5</f>
        <v/>
      </c>
      <c r="X108">
        <f>0.5*(R108+W108)</f>
        <v/>
      </c>
      <c r="Y108">
        <f>AVERAGE(L89:L108)</f>
        <v/>
      </c>
      <c r="Z108">
        <f>AVERAGE(M89:M108)</f>
        <v/>
      </c>
      <c r="AA108">
        <f>AVERAGE(R89:R108)</f>
        <v/>
      </c>
      <c r="AB108">
        <f>AVERAGE(W89:W108)</f>
        <v/>
      </c>
      <c r="AC108">
        <f>AVERAGE(X89:X108)</f>
        <v/>
      </c>
      <c r="AD108">
        <f>0.5*Y108+0.5*AA108</f>
        <v/>
      </c>
      <c r="AE108">
        <f>Settings!$B$3+Settings!$B$4*Z108</f>
        <v/>
      </c>
      <c r="AF108">
        <f>AC108</f>
        <v/>
      </c>
      <c r="AG108">
        <f>0.5*Y108+0.5*AC108</f>
        <v/>
      </c>
      <c r="AH108">
        <f>(AA108+AB108+Y108)/3</f>
        <v/>
      </c>
      <c r="AI108">
        <f>0.7*AA108+0.3*Y108</f>
        <v/>
      </c>
    </row>
    <row r="109">
      <c r="A109" t="inlineStr">
        <is>
          <t>2011-10-01</t>
        </is>
      </c>
      <c r="B109" t="n">
        <v>758443.9517983127</v>
      </c>
      <c r="C109" t="n">
        <v>417672.6028570202</v>
      </c>
      <c r="D109" t="n">
        <v>63.2185946103137</v>
      </c>
      <c r="E109" t="n">
        <v>-0.4229022148331628</v>
      </c>
      <c r="F109" t="n">
        <v>0.0112518970178935</v>
      </c>
      <c r="G109" t="n">
        <v>0.2303590855190599</v>
      </c>
      <c r="H109" t="n">
        <v>1.852631128736915</v>
      </c>
      <c r="I109" t="n">
        <v>84.32542528133617</v>
      </c>
      <c r="J109" t="n">
        <v>1353.902418156428</v>
      </c>
      <c r="K109" t="n">
        <v>850.7769733560307</v>
      </c>
      <c r="L109" t="n">
        <v>2.526126329324143</v>
      </c>
      <c r="M109" t="n">
        <v>4.162201880144039</v>
      </c>
      <c r="N109" t="n">
        <v>-0.4229022148331628</v>
      </c>
      <c r="O109" t="n">
        <v>-0.4229022148331628</v>
      </c>
      <c r="P109" t="n">
        <v>-0.3943057491493276</v>
      </c>
      <c r="Q109" t="n">
        <v>-0.305909432020569</v>
      </c>
      <c r="R109" t="n">
        <v>0.4055576461672211</v>
      </c>
      <c r="S109" t="n">
        <v>2.246936877886243</v>
      </c>
      <c r="T109" t="n">
        <v>2.158540560757484</v>
      </c>
      <c r="U109" t="n">
        <v>0.6246648346683875</v>
      </c>
      <c r="V109">
        <f>T109-R109</f>
        <v/>
      </c>
      <c r="W109">
        <f>T109-Settings!$B$5</f>
        <v/>
      </c>
      <c r="X109">
        <f>0.5*(R109+W109)</f>
        <v/>
      </c>
      <c r="Y109">
        <f>AVERAGE(L90:L109)</f>
        <v/>
      </c>
      <c r="Z109">
        <f>AVERAGE(M90:M109)</f>
        <v/>
      </c>
      <c r="AA109">
        <f>AVERAGE(R90:R109)</f>
        <v/>
      </c>
      <c r="AB109">
        <f>AVERAGE(W90:W109)</f>
        <v/>
      </c>
      <c r="AC109">
        <f>AVERAGE(X90:X109)</f>
        <v/>
      </c>
      <c r="AD109">
        <f>0.5*Y109+0.5*AA109</f>
        <v/>
      </c>
      <c r="AE109">
        <f>Settings!$B$3+Settings!$B$4*Z109</f>
        <v/>
      </c>
      <c r="AF109">
        <f>AC109</f>
        <v/>
      </c>
      <c r="AG109">
        <f>0.5*Y109+0.5*AC109</f>
        <v/>
      </c>
      <c r="AH109">
        <f>(AA109+AB109+Y109)/3</f>
        <v/>
      </c>
      <c r="AI109">
        <f>0.7*AA109+0.3*Y109</f>
        <v/>
      </c>
    </row>
    <row r="110">
      <c r="A110" t="inlineStr">
        <is>
          <t>2012-01-01</t>
        </is>
      </c>
      <c r="B110" t="n">
        <v>765571.3254162479</v>
      </c>
      <c r="C110" t="n">
        <v>420900.4052305104</v>
      </c>
      <c r="D110" t="n">
        <v>63.28814641688002</v>
      </c>
      <c r="E110" t="n">
        <v>-0.2281132339095999</v>
      </c>
      <c r="F110" t="n">
        <v>0.1257705201450405</v>
      </c>
      <c r="G110" t="n">
        <v>0.3359942623851037</v>
      </c>
      <c r="H110" t="n">
        <v>1.902543587152617</v>
      </c>
      <c r="I110" t="n">
        <v>84.33974661264578</v>
      </c>
      <c r="J110" t="n">
        <v>1354.837766467894</v>
      </c>
      <c r="K110" t="n">
        <v>851.52982735714</v>
      </c>
      <c r="L110" t="n">
        <v>3.741393245863947</v>
      </c>
      <c r="M110" t="n">
        <v>3.011416004437251</v>
      </c>
      <c r="N110" t="n">
        <v>-0.2281132339095999</v>
      </c>
      <c r="O110" t="n">
        <v>-0.2281132339095999</v>
      </c>
      <c r="P110" t="n">
        <v>-0.3706320695056874</v>
      </c>
      <c r="Q110" t="n">
        <v>-0.3088834340110407</v>
      </c>
      <c r="R110" t="n">
        <v>0.4964025896507279</v>
      </c>
      <c r="S110" t="n">
        <v>2.273175656658304</v>
      </c>
      <c r="T110" t="n">
        <v>2.211427021163658</v>
      </c>
      <c r="U110" t="n">
        <v>0.7066263318907912</v>
      </c>
      <c r="V110">
        <f>T110-R110</f>
        <v/>
      </c>
      <c r="W110">
        <f>T110-Settings!$B$5</f>
        <v/>
      </c>
      <c r="X110">
        <f>0.5*(R110+W110)</f>
        <v/>
      </c>
      <c r="Y110">
        <f>AVERAGE(L91:L110)</f>
        <v/>
      </c>
      <c r="Z110">
        <f>AVERAGE(M91:M110)</f>
        <v/>
      </c>
      <c r="AA110">
        <f>AVERAGE(R91:R110)</f>
        <v/>
      </c>
      <c r="AB110">
        <f>AVERAGE(W91:W110)</f>
        <v/>
      </c>
      <c r="AC110">
        <f>AVERAGE(X91:X110)</f>
        <v/>
      </c>
      <c r="AD110">
        <f>0.5*Y110+0.5*AA110</f>
        <v/>
      </c>
      <c r="AE110">
        <f>Settings!$B$3+Settings!$B$4*Z110</f>
        <v/>
      </c>
      <c r="AF110">
        <f>AC110</f>
        <v/>
      </c>
      <c r="AG110">
        <f>0.5*Y110+0.5*AC110</f>
        <v/>
      </c>
      <c r="AH110">
        <f>(AA110+AB110+Y110)/3</f>
        <v/>
      </c>
      <c r="AI110">
        <f>0.7*AA110+0.3*Y110</f>
        <v/>
      </c>
    </row>
    <row r="111">
      <c r="A111" t="inlineStr">
        <is>
          <t>2012-04-01</t>
        </is>
      </c>
      <c r="B111" t="n">
        <v>766374.9982663012</v>
      </c>
      <c r="C111" t="n">
        <v>425050.1985992945</v>
      </c>
      <c r="D111" t="n">
        <v>63.33231705789909</v>
      </c>
      <c r="E111" t="n">
        <v>0.053973272182238</v>
      </c>
      <c r="F111" t="n">
        <v>0.07112305563221739</v>
      </c>
      <c r="G111" t="n">
        <v>0.217614721740792</v>
      </c>
      <c r="H111" t="n">
        <v>1.878694384427901</v>
      </c>
      <c r="I111" t="n">
        <v>84.28401819715133</v>
      </c>
      <c r="J111" t="n">
        <v>1354.942688280278</v>
      </c>
      <c r="K111" t="n">
        <v>852.577029072555</v>
      </c>
      <c r="L111" t="n">
        <v>0.4196872495367643</v>
      </c>
      <c r="M111" t="n">
        <v>4.188806861659941</v>
      </c>
      <c r="N111" t="n">
        <v>0.053973272182238</v>
      </c>
      <c r="O111" t="n">
        <v>0.053973272182238</v>
      </c>
      <c r="P111" t="n">
        <v>-0.2347417640745731</v>
      </c>
      <c r="Q111" t="n">
        <v>-0.2999215565689454</v>
      </c>
      <c r="R111" t="n">
        <v>0.3058648197067905</v>
      </c>
      <c r="S111" t="n">
        <v>2.113436148502474</v>
      </c>
      <c r="T111" t="n">
        <v>2.178615940996846</v>
      </c>
      <c r="U111" t="n">
        <v>0.4523564858153651</v>
      </c>
      <c r="V111">
        <f>T111-R111</f>
        <v/>
      </c>
      <c r="W111">
        <f>T111-Settings!$B$5</f>
        <v/>
      </c>
      <c r="X111">
        <f>0.5*(R111+W111)</f>
        <v/>
      </c>
      <c r="Y111">
        <f>AVERAGE(L92:L111)</f>
        <v/>
      </c>
      <c r="Z111">
        <f>AVERAGE(M92:M111)</f>
        <v/>
      </c>
      <c r="AA111">
        <f>AVERAGE(R92:R111)</f>
        <v/>
      </c>
      <c r="AB111">
        <f>AVERAGE(W92:W111)</f>
        <v/>
      </c>
      <c r="AC111">
        <f>AVERAGE(X92:X111)</f>
        <v/>
      </c>
      <c r="AD111">
        <f>0.5*Y111+0.5*AA111</f>
        <v/>
      </c>
      <c r="AE111">
        <f>Settings!$B$3+Settings!$B$4*Z111</f>
        <v/>
      </c>
      <c r="AF111">
        <f>AC111</f>
        <v/>
      </c>
      <c r="AG111">
        <f>0.5*Y111+0.5*AC111</f>
        <v/>
      </c>
      <c r="AH111">
        <f>(AA111+AB111+Y111)/3</f>
        <v/>
      </c>
      <c r="AI111">
        <f>0.7*AA111+0.3*Y111</f>
        <v/>
      </c>
    </row>
    <row r="112">
      <c r="A112" t="inlineStr">
        <is>
          <t>2012-07-01</t>
        </is>
      </c>
      <c r="B112" t="n">
        <v>771645.2977678287</v>
      </c>
      <c r="C112" t="n">
        <v>427084.2943688309</v>
      </c>
      <c r="D112" t="n">
        <v>63.39626984448885</v>
      </c>
      <c r="E112" t="n">
        <v>0.160279752063035</v>
      </c>
      <c r="F112" t="n">
        <v>0.1637223608470619</v>
      </c>
      <c r="G112" t="n">
        <v>0.3662309931693787</v>
      </c>
      <c r="H112" t="n">
        <v>1.964324028890669</v>
      </c>
      <c r="I112" t="n">
        <v>84.21719725316795</v>
      </c>
      <c r="J112" t="n">
        <v>1355.628026457339</v>
      </c>
      <c r="K112" t="n">
        <v>853.13375401224</v>
      </c>
      <c r="L112" t="n">
        <v>2.741352708244449</v>
      </c>
      <c r="M112" t="n">
        <v>2.226899758740274</v>
      </c>
      <c r="N112" t="n">
        <v>0.160279752063035</v>
      </c>
      <c r="O112" t="n">
        <v>0.160279752063035</v>
      </c>
      <c r="P112" t="n">
        <v>-0.1091906061243725</v>
      </c>
      <c r="Q112" t="n">
        <v>-0.2864534031265219</v>
      </c>
      <c r="R112" t="n">
        <v>0.2729129669714344</v>
      </c>
      <c r="S112" t="n">
        <v>2.073514635015041</v>
      </c>
      <c r="T112" t="n">
        <v>2.250777432017191</v>
      </c>
      <c r="U112" t="n">
        <v>0.4754215992937512</v>
      </c>
      <c r="V112">
        <f>T112-R112</f>
        <v/>
      </c>
      <c r="W112">
        <f>T112-Settings!$B$5</f>
        <v/>
      </c>
      <c r="X112">
        <f>0.5*(R112+W112)</f>
        <v/>
      </c>
      <c r="Y112">
        <f>AVERAGE(L93:L112)</f>
        <v/>
      </c>
      <c r="Z112">
        <f>AVERAGE(M93:M112)</f>
        <v/>
      </c>
      <c r="AA112">
        <f>AVERAGE(R93:R112)</f>
        <v/>
      </c>
      <c r="AB112">
        <f>AVERAGE(W93:W112)</f>
        <v/>
      </c>
      <c r="AC112">
        <f>AVERAGE(X93:X112)</f>
        <v/>
      </c>
      <c r="AD112">
        <f>0.5*Y112+0.5*AA112</f>
        <v/>
      </c>
      <c r="AE112">
        <f>Settings!$B$3+Settings!$B$4*Z112</f>
        <v/>
      </c>
      <c r="AF112">
        <f>AC112</f>
        <v/>
      </c>
      <c r="AG112">
        <f>0.5*Y112+0.5*AC112</f>
        <v/>
      </c>
      <c r="AH112">
        <f>(AA112+AB112+Y112)/3</f>
        <v/>
      </c>
      <c r="AI112">
        <f>0.7*AA112+0.3*Y112</f>
        <v/>
      </c>
    </row>
    <row r="113">
      <c r="A113" t="inlineStr">
        <is>
          <t>2012-10-01</t>
        </is>
      </c>
      <c r="B113" t="n">
        <v>775922.3540766865</v>
      </c>
      <c r="C113" t="n">
        <v>427416.4546042713</v>
      </c>
      <c r="D113" t="n">
        <v>63.51181440929001</v>
      </c>
      <c r="E113" t="n">
        <v>0.4627465885758086</v>
      </c>
      <c r="F113" t="n">
        <v>0.068620623178154</v>
      </c>
      <c r="G113" t="n">
        <v>0.2519348644126803</v>
      </c>
      <c r="H113" t="n">
        <v>1.91345302977547</v>
      </c>
      <c r="I113" t="n">
        <v>84.28631464778245</v>
      </c>
      <c r="J113" t="n">
        <v>1356.180773497957</v>
      </c>
      <c r="K113" t="n">
        <v>853.1294609675305</v>
      </c>
      <c r="L113" t="n">
        <v>2.210988162472859</v>
      </c>
      <c r="M113" t="n">
        <v>-0.01717217883833655</v>
      </c>
      <c r="N113" t="n">
        <v>0.4627465885758086</v>
      </c>
      <c r="O113" t="n">
        <v>0.4627465885758086</v>
      </c>
      <c r="P113" t="n">
        <v>0.1122215947278704</v>
      </c>
      <c r="Q113" t="n">
        <v>-0.262196142137063</v>
      </c>
      <c r="R113" t="n">
        <v>-0.04360097154971643</v>
      </c>
      <c r="S113" t="n">
        <v>1.8012314350476</v>
      </c>
      <c r="T113" t="n">
        <v>2.175649171912533</v>
      </c>
      <c r="U113" t="n">
        <v>0.1397132696848099</v>
      </c>
      <c r="V113">
        <f>T113-R113</f>
        <v/>
      </c>
      <c r="W113">
        <f>T113-Settings!$B$5</f>
        <v/>
      </c>
      <c r="X113">
        <f>0.5*(R113+W113)</f>
        <v/>
      </c>
      <c r="Y113">
        <f>AVERAGE(L94:L113)</f>
        <v/>
      </c>
      <c r="Z113">
        <f>AVERAGE(M94:M113)</f>
        <v/>
      </c>
      <c r="AA113">
        <f>AVERAGE(R94:R113)</f>
        <v/>
      </c>
      <c r="AB113">
        <f>AVERAGE(W94:W113)</f>
        <v/>
      </c>
      <c r="AC113">
        <f>AVERAGE(X94:X113)</f>
        <v/>
      </c>
      <c r="AD113">
        <f>0.5*Y113+0.5*AA113</f>
        <v/>
      </c>
      <c r="AE113">
        <f>Settings!$B$3+Settings!$B$4*Z113</f>
        <v/>
      </c>
      <c r="AF113">
        <f>AC113</f>
        <v/>
      </c>
      <c r="AG113">
        <f>0.5*Y113+0.5*AC113</f>
        <v/>
      </c>
      <c r="AH113">
        <f>(AA113+AB113+Y113)/3</f>
        <v/>
      </c>
      <c r="AI113">
        <f>0.7*AA113+0.3*Y113</f>
        <v/>
      </c>
    </row>
    <row r="114">
      <c r="A114" t="inlineStr">
        <is>
          <t>2013-01-01</t>
        </is>
      </c>
      <c r="B114" t="n">
        <v>777684.3124231178</v>
      </c>
      <c r="C114" t="n">
        <v>426422.8434110045</v>
      </c>
      <c r="D114" t="n">
        <v>63.59812628768938</v>
      </c>
      <c r="E114" t="n">
        <v>0.4885957808835948</v>
      </c>
      <c r="F114" t="n">
        <v>0.0681692358448882</v>
      </c>
      <c r="G114" t="n">
        <v>0.2297740071156876</v>
      </c>
      <c r="H114" t="n">
        <v>1.984699989399606</v>
      </c>
      <c r="I114" t="n">
        <v>84.27895927514909</v>
      </c>
      <c r="J114" t="n">
        <v>1356.40759527207</v>
      </c>
      <c r="K114" t="n">
        <v>852.9054482686712</v>
      </c>
      <c r="L114" t="n">
        <v>0.9072870964510003</v>
      </c>
      <c r="M114" t="n">
        <v>-0.8960507954370769</v>
      </c>
      <c r="N114" t="n">
        <v>0.4885957808835948</v>
      </c>
      <c r="O114" t="n">
        <v>0.4885957808835948</v>
      </c>
      <c r="P114" t="n">
        <v>0.2913988484261691</v>
      </c>
      <c r="Q114" t="n">
        <v>-0.2329073308886772</v>
      </c>
      <c r="R114" t="n">
        <v>-0.2232296125812809</v>
      </c>
      <c r="S114" t="n">
        <v>1.693301140973437</v>
      </c>
      <c r="T114" t="n">
        <v>2.217607320288283</v>
      </c>
      <c r="U114" t="n">
        <v>-0.06162484131048149</v>
      </c>
      <c r="V114">
        <f>T114-R114</f>
        <v/>
      </c>
      <c r="W114">
        <f>T114-Settings!$B$5</f>
        <v/>
      </c>
      <c r="X114">
        <f>0.5*(R114+W114)</f>
        <v/>
      </c>
      <c r="Y114">
        <f>AVERAGE(L95:L114)</f>
        <v/>
      </c>
      <c r="Z114">
        <f>AVERAGE(M95:M114)</f>
        <v/>
      </c>
      <c r="AA114">
        <f>AVERAGE(R95:R114)</f>
        <v/>
      </c>
      <c r="AB114">
        <f>AVERAGE(W95:W114)</f>
        <v/>
      </c>
      <c r="AC114">
        <f>AVERAGE(X95:X114)</f>
        <v/>
      </c>
      <c r="AD114">
        <f>0.5*Y114+0.5*AA114</f>
        <v/>
      </c>
      <c r="AE114">
        <f>Settings!$B$3+Settings!$B$4*Z114</f>
        <v/>
      </c>
      <c r="AF114">
        <f>AC114</f>
        <v/>
      </c>
      <c r="AG114">
        <f>0.5*Y114+0.5*AC114</f>
        <v/>
      </c>
      <c r="AH114">
        <f>(AA114+AB114+Y114)/3</f>
        <v/>
      </c>
      <c r="AI114">
        <f>0.7*AA114+0.3*Y114</f>
        <v/>
      </c>
    </row>
    <row r="115">
      <c r="A115" t="inlineStr">
        <is>
          <t>2013-04-01</t>
        </is>
      </c>
      <c r="B115" t="n">
        <v>776867.597339461</v>
      </c>
      <c r="C115" t="n">
        <v>425380.1700342211</v>
      </c>
      <c r="D115" t="n">
        <v>63.70929724435145</v>
      </c>
      <c r="E115" t="n">
        <v>0.5934768619015076</v>
      </c>
      <c r="F115" t="n">
        <v>0.1270565805402266</v>
      </c>
      <c r="G115" t="n">
        <v>0.3775110791192513</v>
      </c>
      <c r="H115" t="n">
        <v>2.09179598030056</v>
      </c>
      <c r="I115" t="n">
        <v>84.19972783276614</v>
      </c>
      <c r="J115" t="n">
        <v>1356.302521243513</v>
      </c>
      <c r="K115" t="n">
        <v>852.7546876938471</v>
      </c>
      <c r="L115" t="n">
        <v>-0.4202961142291315</v>
      </c>
      <c r="M115" t="n">
        <v>-0.6030422992962485</v>
      </c>
      <c r="N115" t="n">
        <v>0.5934768619015076</v>
      </c>
      <c r="O115" t="n">
        <v>0.5934768619015076</v>
      </c>
      <c r="P115" t="n">
        <v>0.4262747458559865</v>
      </c>
      <c r="Q115" t="n">
        <v>-0.190255399254039</v>
      </c>
      <c r="R115" t="n">
        <v>-0.29921816531576</v>
      </c>
      <c r="S115" t="n">
        <v>1.665521234444574</v>
      </c>
      <c r="T115" t="n">
        <v>2.282051379554599</v>
      </c>
      <c r="U115" t="n">
        <v>-0.04876366673673521</v>
      </c>
      <c r="V115">
        <f>T115-R115</f>
        <v/>
      </c>
      <c r="W115">
        <f>T115-Settings!$B$5</f>
        <v/>
      </c>
      <c r="X115">
        <f>0.5*(R115+W115)</f>
        <v/>
      </c>
      <c r="Y115">
        <f>AVERAGE(L96:L115)</f>
        <v/>
      </c>
      <c r="Z115">
        <f>AVERAGE(M96:M115)</f>
        <v/>
      </c>
      <c r="AA115">
        <f>AVERAGE(R96:R115)</f>
        <v/>
      </c>
      <c r="AB115">
        <f>AVERAGE(W96:W115)</f>
        <v/>
      </c>
      <c r="AC115">
        <f>AVERAGE(X96:X115)</f>
        <v/>
      </c>
      <c r="AD115">
        <f>0.5*Y115+0.5*AA115</f>
        <v/>
      </c>
      <c r="AE115">
        <f>Settings!$B$3+Settings!$B$4*Z115</f>
        <v/>
      </c>
      <c r="AF115">
        <f>AC115</f>
        <v/>
      </c>
      <c r="AG115">
        <f>0.5*Y115+0.5*AC115</f>
        <v/>
      </c>
      <c r="AH115">
        <f>(AA115+AB115+Y115)/3</f>
        <v/>
      </c>
      <c r="AI115">
        <f>0.7*AA115+0.3*Y115</f>
        <v/>
      </c>
    </row>
    <row r="116">
      <c r="A116" t="inlineStr">
        <is>
          <t>2013-07-01</t>
        </is>
      </c>
      <c r="B116" t="n">
        <v>779021.7711496103</v>
      </c>
      <c r="C116" t="n">
        <v>430508.2829985464</v>
      </c>
      <c r="D116" t="n">
        <v>63.82225454953086</v>
      </c>
      <c r="E116" t="n">
        <v>0.6696922466977376</v>
      </c>
      <c r="F116" t="n">
        <v>0.1381463241168468</v>
      </c>
      <c r="G116" t="n">
        <v>0.3900161843434179</v>
      </c>
      <c r="H116" t="n">
        <v>1.969108332307764</v>
      </c>
      <c r="I116" t="n">
        <v>84.19868317556721</v>
      </c>
      <c r="J116" t="n">
        <v>1356.579427202284</v>
      </c>
      <c r="K116" t="n">
        <v>853.9542561198627</v>
      </c>
      <c r="L116" t="n">
        <v>1.10762383508245</v>
      </c>
      <c r="M116" t="n">
        <v>4.798273704062467</v>
      </c>
      <c r="N116" t="n">
        <v>0.6696922466977376</v>
      </c>
      <c r="O116" t="n">
        <v>0.6696922466977376</v>
      </c>
      <c r="P116" t="n">
        <v>0.5536278695146621</v>
      </c>
      <c r="Q116" t="n">
        <v>-0.141822964314067</v>
      </c>
      <c r="R116" t="n">
        <v>-0.4154815453978153</v>
      </c>
      <c r="S116" t="n">
        <v>1.415480462793102</v>
      </c>
      <c r="T116" t="n">
        <v>2.110931296621831</v>
      </c>
      <c r="U116" t="n">
        <v>-0.1636116851712442</v>
      </c>
      <c r="V116">
        <f>T116-R116</f>
        <v/>
      </c>
      <c r="W116">
        <f>T116-Settings!$B$5</f>
        <v/>
      </c>
      <c r="X116">
        <f>0.5*(R116+W116)</f>
        <v/>
      </c>
      <c r="Y116">
        <f>AVERAGE(L97:L116)</f>
        <v/>
      </c>
      <c r="Z116">
        <f>AVERAGE(M97:M116)</f>
        <v/>
      </c>
      <c r="AA116">
        <f>AVERAGE(R97:R116)</f>
        <v/>
      </c>
      <c r="AB116">
        <f>AVERAGE(W97:W116)</f>
        <v/>
      </c>
      <c r="AC116">
        <f>AVERAGE(X97:X116)</f>
        <v/>
      </c>
      <c r="AD116">
        <f>0.5*Y116+0.5*AA116</f>
        <v/>
      </c>
      <c r="AE116">
        <f>Settings!$B$3+Settings!$B$4*Z116</f>
        <v/>
      </c>
      <c r="AF116">
        <f>AC116</f>
        <v/>
      </c>
      <c r="AG116">
        <f>0.5*Y116+0.5*AC116</f>
        <v/>
      </c>
      <c r="AH116">
        <f>(AA116+AB116+Y116)/3</f>
        <v/>
      </c>
      <c r="AI116">
        <f>0.7*AA116+0.3*Y116</f>
        <v/>
      </c>
    </row>
    <row r="117">
      <c r="A117" t="inlineStr">
        <is>
          <t>2013-10-01</t>
        </is>
      </c>
      <c r="B117" t="n">
        <v>779243.7717231091</v>
      </c>
      <c r="C117" t="n">
        <v>429034.7517703461</v>
      </c>
      <c r="D117" t="n">
        <v>63.98140173008723</v>
      </c>
      <c r="E117" t="n">
        <v>0.7366500878102313</v>
      </c>
      <c r="F117" t="n">
        <v>0.1224049681968101</v>
      </c>
      <c r="G117" t="n">
        <v>0.3631815862056785</v>
      </c>
      <c r="H117" t="n">
        <v>1.98135965680037</v>
      </c>
      <c r="I117" t="n">
        <v>84.18709799984069</v>
      </c>
      <c r="J117" t="n">
        <v>1356.607920494202</v>
      </c>
      <c r="K117" t="n">
        <v>853.6251521985381</v>
      </c>
      <c r="L117" t="n">
        <v>0.1139731676748852</v>
      </c>
      <c r="M117" t="n">
        <v>-1.31641568529858</v>
      </c>
      <c r="N117" t="n">
        <v>0.7366500878102313</v>
      </c>
      <c r="O117" t="n">
        <v>0.7366500878102313</v>
      </c>
      <c r="P117" t="n">
        <v>0.6221037443232679</v>
      </c>
      <c r="Q117" t="n">
        <v>-0.07941467831046631</v>
      </c>
      <c r="R117" t="n">
        <v>-0.4996987761264577</v>
      </c>
      <c r="S117" t="n">
        <v>1.359255912477102</v>
      </c>
      <c r="T117" t="n">
        <v>2.060774335110837</v>
      </c>
      <c r="U117" t="n">
        <v>-0.2589221581175894</v>
      </c>
      <c r="V117">
        <f>T117-R117</f>
        <v/>
      </c>
      <c r="W117">
        <f>T117-Settings!$B$5</f>
        <v/>
      </c>
      <c r="X117">
        <f>0.5*(R117+W117)</f>
        <v/>
      </c>
      <c r="Y117">
        <f>AVERAGE(L98:L117)</f>
        <v/>
      </c>
      <c r="Z117">
        <f>AVERAGE(M98:M117)</f>
        <v/>
      </c>
      <c r="AA117">
        <f>AVERAGE(R98:R117)</f>
        <v/>
      </c>
      <c r="AB117">
        <f>AVERAGE(W98:W117)</f>
        <v/>
      </c>
      <c r="AC117">
        <f>AVERAGE(X98:X117)</f>
        <v/>
      </c>
      <c r="AD117">
        <f>0.5*Y117+0.5*AA117</f>
        <v/>
      </c>
      <c r="AE117">
        <f>Settings!$B$3+Settings!$B$4*Z117</f>
        <v/>
      </c>
      <c r="AF117">
        <f>AC117</f>
        <v/>
      </c>
      <c r="AG117">
        <f>0.5*Y117+0.5*AC117</f>
        <v/>
      </c>
      <c r="AH117">
        <f>(AA117+AB117+Y117)/3</f>
        <v/>
      </c>
      <c r="AI117">
        <f>0.7*AA117+0.3*Y117</f>
        <v/>
      </c>
    </row>
    <row r="118">
      <c r="A118" t="inlineStr">
        <is>
          <t>2014-01-01</t>
        </is>
      </c>
      <c r="B118" t="n">
        <v>780782.4193216803</v>
      </c>
      <c r="C118" t="n">
        <v>430255.8756950697</v>
      </c>
      <c r="D118" t="n">
        <v>64.06097431941797</v>
      </c>
      <c r="E118" t="n">
        <v>0.7251344520656333</v>
      </c>
      <c r="F118" t="n">
        <v>0.0157201341307595</v>
      </c>
      <c r="G118" t="n">
        <v>0.2233765366364358</v>
      </c>
      <c r="H118" t="n">
        <v>1.700633683212203</v>
      </c>
      <c r="I118" t="n">
        <v>84.15650496582022</v>
      </c>
      <c r="J118" t="n">
        <v>1356.805179758992</v>
      </c>
      <c r="K118" t="n">
        <v>853.9457150768752</v>
      </c>
      <c r="L118" t="n">
        <v>0.7890370591603642</v>
      </c>
      <c r="M118" t="n">
        <v>1.282251513348456</v>
      </c>
      <c r="N118" t="n">
        <v>0.7251344520656333</v>
      </c>
      <c r="O118" t="n">
        <v>0.7251344520656333</v>
      </c>
      <c r="P118" t="n">
        <v>0.6812384121187774</v>
      </c>
      <c r="Q118" t="n">
        <v>-0.01390619717346639</v>
      </c>
      <c r="R118" t="n">
        <v>-0.665518277988018</v>
      </c>
      <c r="S118" t="n">
        <v>1.019395271093425</v>
      </c>
      <c r="T118" t="n">
        <v>1.714539880385669</v>
      </c>
      <c r="U118" t="n">
        <v>-0.4578618754823416</v>
      </c>
      <c r="V118">
        <f>T118-R118</f>
        <v/>
      </c>
      <c r="W118">
        <f>T118-Settings!$B$5</f>
        <v/>
      </c>
      <c r="X118">
        <f>0.5*(R118+W118)</f>
        <v/>
      </c>
      <c r="Y118">
        <f>AVERAGE(L99:L118)</f>
        <v/>
      </c>
      <c r="Z118">
        <f>AVERAGE(M99:M118)</f>
        <v/>
      </c>
      <c r="AA118">
        <f>AVERAGE(R99:R118)</f>
        <v/>
      </c>
      <c r="AB118">
        <f>AVERAGE(W99:W118)</f>
        <v/>
      </c>
      <c r="AC118">
        <f>AVERAGE(X99:X118)</f>
        <v/>
      </c>
      <c r="AD118">
        <f>0.5*Y118+0.5*AA118</f>
        <v/>
      </c>
      <c r="AE118">
        <f>Settings!$B$3+Settings!$B$4*Z118</f>
        <v/>
      </c>
      <c r="AF118">
        <f>AC118</f>
        <v/>
      </c>
      <c r="AG118">
        <f>0.5*Y118+0.5*AC118</f>
        <v/>
      </c>
      <c r="AH118">
        <f>(AA118+AB118+Y118)/3</f>
        <v/>
      </c>
      <c r="AI118">
        <f>0.7*AA118+0.3*Y118</f>
        <v/>
      </c>
    </row>
    <row r="119">
      <c r="A119" t="inlineStr">
        <is>
          <t>2014-04-01</t>
        </is>
      </c>
      <c r="B119" t="n">
        <v>781441.3031082115</v>
      </c>
      <c r="C119" t="n">
        <v>426803.9158749878</v>
      </c>
      <c r="D119" t="n">
        <v>64.08611399942595</v>
      </c>
      <c r="E119" t="n">
        <v>0.5897204656310173</v>
      </c>
      <c r="F119" t="n">
        <v>0.1269017219964125</v>
      </c>
      <c r="G119" t="n">
        <v>0.3674204756249922</v>
      </c>
      <c r="H119" t="n">
        <v>1.91811404775485</v>
      </c>
      <c r="I119" t="n">
        <v>84.10570495885564</v>
      </c>
      <c r="J119" t="n">
        <v>1356.889531803599</v>
      </c>
      <c r="K119" t="n">
        <v>853.2005573233887</v>
      </c>
      <c r="L119" t="n">
        <v>0.3374081784259033</v>
      </c>
      <c r="M119" t="n">
        <v>-2.980631013946095</v>
      </c>
      <c r="N119" t="n">
        <v>-1.410279534368983</v>
      </c>
      <c r="O119" t="n">
        <v>-1.410279534368983</v>
      </c>
      <c r="P119" t="n">
        <v>0.1802993130511549</v>
      </c>
      <c r="Q119" t="n">
        <v>-0.05696609611727114</v>
      </c>
      <c r="R119" t="n">
        <v>-0.05339759105474237</v>
      </c>
      <c r="S119" t="n">
        <v>1.737814734703695</v>
      </c>
      <c r="T119" t="n">
        <v>1.975080143872121</v>
      </c>
      <c r="U119" t="n">
        <v>0.1871211625738373</v>
      </c>
      <c r="V119">
        <f>T119-R119</f>
        <v/>
      </c>
      <c r="W119">
        <f>T119-Settings!$B$5</f>
        <v/>
      </c>
      <c r="X119">
        <f>0.5*(R119+W119)</f>
        <v/>
      </c>
      <c r="Y119">
        <f>AVERAGE(L100:L119)</f>
        <v/>
      </c>
      <c r="Z119">
        <f>AVERAGE(M100:M119)</f>
        <v/>
      </c>
      <c r="AA119">
        <f>AVERAGE(R100:R119)</f>
        <v/>
      </c>
      <c r="AB119">
        <f>AVERAGE(W100:W119)</f>
        <v/>
      </c>
      <c r="AC119">
        <f>AVERAGE(X100:X119)</f>
        <v/>
      </c>
      <c r="AD119">
        <f>0.5*Y119+0.5*AA119</f>
        <v/>
      </c>
      <c r="AE119">
        <f>Settings!$B$3+Settings!$B$4*Z119</f>
        <v/>
      </c>
      <c r="AF119">
        <f>AC119</f>
        <v/>
      </c>
      <c r="AG119">
        <f>0.5*Y119+0.5*AC119</f>
        <v/>
      </c>
      <c r="AH119">
        <f>(AA119+AB119+Y119)/3</f>
        <v/>
      </c>
      <c r="AI119">
        <f>0.7*AA119+0.3*Y119</f>
        <v/>
      </c>
    </row>
    <row r="120">
      <c r="A120" t="inlineStr">
        <is>
          <t>2014-07-01</t>
        </is>
      </c>
      <c r="B120" t="n">
        <v>785520.7745012454</v>
      </c>
      <c r="C120" t="n">
        <v>433642.1513847585</v>
      </c>
      <c r="D120" t="n">
        <v>64.23370847282935</v>
      </c>
      <c r="E120" t="n">
        <v>0.6426180078292527</v>
      </c>
      <c r="F120" t="n">
        <v>0.04828459741628</v>
      </c>
      <c r="G120" t="n">
        <v>0.2486461928343348</v>
      </c>
      <c r="H120" t="n">
        <v>1.942313543904639</v>
      </c>
      <c r="I120" t="n">
        <v>84.07991735235375</v>
      </c>
      <c r="J120" t="n">
        <v>1357.410218381535</v>
      </c>
      <c r="K120" t="n">
        <v>854.8207193382142</v>
      </c>
      <c r="L120" t="n">
        <v>2.082746311742994</v>
      </c>
      <c r="M120" t="n">
        <v>6.480648059301984</v>
      </c>
      <c r="N120" t="n">
        <v>-1.357381992170747</v>
      </c>
      <c r="O120" t="n">
        <v>-1.357381992170747</v>
      </c>
      <c r="P120" t="n">
        <v>-0.3264692466659663</v>
      </c>
      <c r="Q120" t="n">
        <v>-0.1026235630945791</v>
      </c>
      <c r="R120" t="n">
        <v>0.3747538440822463</v>
      </c>
      <c r="S120" t="n">
        <v>2.268782790570605</v>
      </c>
      <c r="T120" t="n">
        <v>2.044937106999218</v>
      </c>
      <c r="U120" t="n">
        <v>0.5751154395003011</v>
      </c>
      <c r="V120">
        <f>T120-R120</f>
        <v/>
      </c>
      <c r="W120">
        <f>T120-Settings!$B$5</f>
        <v/>
      </c>
      <c r="X120">
        <f>0.5*(R120+W120)</f>
        <v/>
      </c>
      <c r="Y120">
        <f>AVERAGE(L101:L120)</f>
        <v/>
      </c>
      <c r="Z120">
        <f>AVERAGE(M101:M120)</f>
        <v/>
      </c>
      <c r="AA120">
        <f>AVERAGE(R101:R120)</f>
        <v/>
      </c>
      <c r="AB120">
        <f>AVERAGE(W101:W120)</f>
        <v/>
      </c>
      <c r="AC120">
        <f>AVERAGE(X101:X120)</f>
        <v/>
      </c>
      <c r="AD120">
        <f>0.5*Y120+0.5*AA120</f>
        <v/>
      </c>
      <c r="AE120">
        <f>Settings!$B$3+Settings!$B$4*Z120</f>
        <v/>
      </c>
      <c r="AF120">
        <f>AC120</f>
        <v/>
      </c>
      <c r="AG120">
        <f>0.5*Y120+0.5*AC120</f>
        <v/>
      </c>
      <c r="AH120">
        <f>(AA120+AB120+Y120)/3</f>
        <v/>
      </c>
      <c r="AI120">
        <f>0.7*AA120+0.3*Y120</f>
        <v/>
      </c>
    </row>
    <row r="121">
      <c r="A121" t="inlineStr">
        <is>
          <t>2014-10-01</t>
        </is>
      </c>
      <c r="B121" t="n">
        <v>785081.4030993229</v>
      </c>
      <c r="C121" t="n">
        <v>432580.3507593221</v>
      </c>
      <c r="D121" t="n">
        <v>64.31413981432777</v>
      </c>
      <c r="E121" t="n">
        <v>0.5187067707573461</v>
      </c>
      <c r="F121" t="n">
        <v>0.1117638055794131</v>
      </c>
      <c r="G121" t="n">
        <v>0.3178477238863466</v>
      </c>
      <c r="H121" t="n">
        <v>1.998360669421129</v>
      </c>
      <c r="I121" t="n">
        <v>84.05098302866733</v>
      </c>
      <c r="J121" t="n">
        <v>1357.354268960396</v>
      </c>
      <c r="K121" t="n">
        <v>854.6099814654494</v>
      </c>
      <c r="L121" t="n">
        <v>-0.2237976845563026</v>
      </c>
      <c r="M121" t="n">
        <v>-0.8429514910590115</v>
      </c>
      <c r="N121" t="n">
        <v>-1.481293229242654</v>
      </c>
      <c r="O121" t="n">
        <v>-1.481293229242654</v>
      </c>
      <c r="P121" t="n">
        <v>-0.8809550759291876</v>
      </c>
      <c r="Q121" t="n">
        <v>-0.1664814907144737</v>
      </c>
      <c r="R121" t="n">
        <v>0.9927188815086008</v>
      </c>
      <c r="S121" t="n">
        <v>2.879315745350317</v>
      </c>
      <c r="T121" t="n">
        <v>2.164842160135603</v>
      </c>
      <c r="U121" t="n">
        <v>1.198802799815534</v>
      </c>
      <c r="V121">
        <f>T121-R121</f>
        <v/>
      </c>
      <c r="W121">
        <f>T121-Settings!$B$5</f>
        <v/>
      </c>
      <c r="X121">
        <f>0.5*(R121+W121)</f>
        <v/>
      </c>
      <c r="Y121">
        <f>AVERAGE(L102:L121)</f>
        <v/>
      </c>
      <c r="Z121">
        <f>AVERAGE(M102:M121)</f>
        <v/>
      </c>
      <c r="AA121">
        <f>AVERAGE(R102:R121)</f>
        <v/>
      </c>
      <c r="AB121">
        <f>AVERAGE(W102:W121)</f>
        <v/>
      </c>
      <c r="AC121">
        <f>AVERAGE(X102:X121)</f>
        <v/>
      </c>
      <c r="AD121">
        <f>0.5*Y121+0.5*AA121</f>
        <v/>
      </c>
      <c r="AE121">
        <f>Settings!$B$3+Settings!$B$4*Z121</f>
        <v/>
      </c>
      <c r="AF121">
        <f>AC121</f>
        <v/>
      </c>
      <c r="AG121">
        <f>0.5*Y121+0.5*AC121</f>
        <v/>
      </c>
      <c r="AH121">
        <f>(AA121+AB121+Y121)/3</f>
        <v/>
      </c>
      <c r="AI121">
        <f>0.7*AA121+0.3*Y121</f>
        <v/>
      </c>
    </row>
    <row r="122">
      <c r="A122" t="inlineStr">
        <is>
          <t>2015-01-01</t>
        </is>
      </c>
      <c r="B122" t="n">
        <v>782719.3555746246</v>
      </c>
      <c r="C122" t="n">
        <v>428587.7435911946</v>
      </c>
      <c r="D122" t="n">
        <v>64.46454967091846</v>
      </c>
      <c r="E122" t="n">
        <v>0.6280101654154778</v>
      </c>
      <c r="F122" t="n">
        <v>0.0288132782300469</v>
      </c>
      <c r="G122" t="n">
        <v>0.1960091371161875</v>
      </c>
      <c r="H122" t="n">
        <v>1.849974251509552</v>
      </c>
      <c r="I122" t="n">
        <v>83.94513311627264</v>
      </c>
      <c r="J122" t="n">
        <v>1357.052948872522</v>
      </c>
      <c r="K122" t="n">
        <v>853.8087356989014</v>
      </c>
      <c r="L122" t="n">
        <v>-1.205280351493457</v>
      </c>
      <c r="M122" t="n">
        <v>-3.204983066192199</v>
      </c>
      <c r="N122" t="n">
        <v>-1.371989834584522</v>
      </c>
      <c r="O122" t="n">
        <v>-1.371989834584522</v>
      </c>
      <c r="P122" t="n">
        <v>-1.405236147591726</v>
      </c>
      <c r="Q122" t="n">
        <v>-0.223021569870299</v>
      </c>
      <c r="R122" t="n">
        <v>1.434049425821773</v>
      </c>
      <c r="S122" t="n">
        <v>3.255210399101278</v>
      </c>
      <c r="T122" t="n">
        <v>2.072995821379851</v>
      </c>
      <c r="U122" t="n">
        <v>1.601245284707914</v>
      </c>
      <c r="V122">
        <f>T122-R122</f>
        <v/>
      </c>
      <c r="W122">
        <f>T122-Settings!$B$5</f>
        <v/>
      </c>
      <c r="X122">
        <f>0.5*(R122+W122)</f>
        <v/>
      </c>
      <c r="Y122">
        <f>AVERAGE(L103:L122)</f>
        <v/>
      </c>
      <c r="Z122">
        <f>AVERAGE(M103:M122)</f>
        <v/>
      </c>
      <c r="AA122">
        <f>AVERAGE(R103:R122)</f>
        <v/>
      </c>
      <c r="AB122">
        <f>AVERAGE(W103:W122)</f>
        <v/>
      </c>
      <c r="AC122">
        <f>AVERAGE(X103:X122)</f>
        <v/>
      </c>
      <c r="AD122">
        <f>0.5*Y122+0.5*AA122</f>
        <v/>
      </c>
      <c r="AE122">
        <f>Settings!$B$3+Settings!$B$4*Z122</f>
        <v/>
      </c>
      <c r="AF122">
        <f>AC122</f>
        <v/>
      </c>
      <c r="AG122">
        <f>0.5*Y122+0.5*AC122</f>
        <v/>
      </c>
      <c r="AH122">
        <f>(AA122+AB122+Y122)/3</f>
        <v/>
      </c>
      <c r="AI122">
        <f>0.7*AA122+0.3*Y122</f>
        <v/>
      </c>
    </row>
    <row r="123">
      <c r="A123" t="inlineStr">
        <is>
          <t>2015-04-01</t>
        </is>
      </c>
      <c r="B123" t="n">
        <v>783219.1076409478</v>
      </c>
      <c r="C123" t="n">
        <v>429958.7990005168</v>
      </c>
      <c r="D123" t="n">
        <v>64.57988522247341</v>
      </c>
      <c r="E123" t="n">
        <v>0.767527785167593</v>
      </c>
      <c r="F123" t="n">
        <v>0.1223161073771531</v>
      </c>
      <c r="G123" t="n">
        <v>0.3342258465121184</v>
      </c>
      <c r="H123" t="n">
        <v>2.010955503333948</v>
      </c>
      <c r="I123" t="n">
        <v>84.01003615784298</v>
      </c>
      <c r="J123" t="n">
        <v>1357.116776678663</v>
      </c>
      <c r="K123" t="n">
        <v>854.0508397025269</v>
      </c>
      <c r="L123" t="n">
        <v>0.2553112245614102</v>
      </c>
      <c r="M123" t="n">
        <v>0.9684160145020542</v>
      </c>
      <c r="N123" t="n">
        <v>0.767527785167593</v>
      </c>
      <c r="O123" t="n">
        <v>0.767527785167593</v>
      </c>
      <c r="P123" t="n">
        <v>-0.8607843177075825</v>
      </c>
      <c r="Q123" t="n">
        <v>-0.1754014336247724</v>
      </c>
      <c r="R123" t="n">
        <v>0.9831004250847355</v>
      </c>
      <c r="S123" t="n">
        <v>2.871739821041531</v>
      </c>
      <c r="T123" t="n">
        <v>2.186356936958721</v>
      </c>
      <c r="U123" t="n">
        <v>1.195010164219701</v>
      </c>
      <c r="V123">
        <f>T123-R123</f>
        <v/>
      </c>
      <c r="W123">
        <f>T123-Settings!$B$5</f>
        <v/>
      </c>
      <c r="X123">
        <f>0.5*(R123+W123)</f>
        <v/>
      </c>
      <c r="Y123">
        <f>AVERAGE(L104:L123)</f>
        <v/>
      </c>
      <c r="Z123">
        <f>AVERAGE(M104:M123)</f>
        <v/>
      </c>
      <c r="AA123">
        <f>AVERAGE(R104:R123)</f>
        <v/>
      </c>
      <c r="AB123">
        <f>AVERAGE(W104:W123)</f>
        <v/>
      </c>
      <c r="AC123">
        <f>AVERAGE(X104:X123)</f>
        <v/>
      </c>
      <c r="AD123">
        <f>0.5*Y123+0.5*AA123</f>
        <v/>
      </c>
      <c r="AE123">
        <f>Settings!$B$3+Settings!$B$4*Z123</f>
        <v/>
      </c>
      <c r="AF123">
        <f>AC123</f>
        <v/>
      </c>
      <c r="AG123">
        <f>0.5*Y123+0.5*AC123</f>
        <v/>
      </c>
      <c r="AH123">
        <f>(AA123+AB123+Y123)/3</f>
        <v/>
      </c>
      <c r="AI123">
        <f>0.7*AA123+0.3*Y123</f>
        <v/>
      </c>
    </row>
    <row r="124">
      <c r="A124" t="inlineStr">
        <is>
          <t>2015-07-01</t>
        </is>
      </c>
      <c r="B124" t="n">
        <v>783959.8101144967</v>
      </c>
      <c r="C124" t="n">
        <v>431632.9716603596</v>
      </c>
      <c r="D124" t="n">
        <v>64.67046688223977</v>
      </c>
      <c r="E124" t="n">
        <v>0.6776507891594434</v>
      </c>
      <c r="F124" t="n">
        <v>0.0596700547846313</v>
      </c>
      <c r="G124" t="n">
        <v>0.2614816326373639</v>
      </c>
      <c r="H124" t="n">
        <v>1.908746725684013</v>
      </c>
      <c r="I124" t="n">
        <v>83.88220930144368</v>
      </c>
      <c r="J124" t="n">
        <v>1357.211303540951</v>
      </c>
      <c r="K124" t="n">
        <v>854.5917358949889</v>
      </c>
      <c r="L124" t="n">
        <v>0.3781074491544132</v>
      </c>
      <c r="M124" t="n">
        <v>2.163584769848057</v>
      </c>
      <c r="N124" t="n">
        <v>0.6776507891594434</v>
      </c>
      <c r="O124" t="n">
        <v>0.6776507891594434</v>
      </c>
      <c r="P124" t="n">
        <v>-0.3520261223750348</v>
      </c>
      <c r="Q124" t="n">
        <v>-0.1253596635851427</v>
      </c>
      <c r="R124" t="n">
        <v>0.4116961771596661</v>
      </c>
      <c r="S124" t="n">
        <v>2.260772848059048</v>
      </c>
      <c r="T124" t="n">
        <v>2.034106389269156</v>
      </c>
      <c r="U124" t="n">
        <v>0.6135077550123987</v>
      </c>
      <c r="V124">
        <f>T124-R124</f>
        <v/>
      </c>
      <c r="W124">
        <f>T124-Settings!$B$5</f>
        <v/>
      </c>
      <c r="X124">
        <f>0.5*(R124+W124)</f>
        <v/>
      </c>
      <c r="Y124">
        <f>AVERAGE(L105:L124)</f>
        <v/>
      </c>
      <c r="Z124">
        <f>AVERAGE(M105:M124)</f>
        <v/>
      </c>
      <c r="AA124">
        <f>AVERAGE(R105:R124)</f>
        <v/>
      </c>
      <c r="AB124">
        <f>AVERAGE(W105:W124)</f>
        <v/>
      </c>
      <c r="AC124">
        <f>AVERAGE(X105:X124)</f>
        <v/>
      </c>
      <c r="AD124">
        <f>0.5*Y124+0.5*AA124</f>
        <v/>
      </c>
      <c r="AE124">
        <f>Settings!$B$3+Settings!$B$4*Z124</f>
        <v/>
      </c>
      <c r="AF124">
        <f>AC124</f>
        <v/>
      </c>
      <c r="AG124">
        <f>0.5*Y124+0.5*AC124</f>
        <v/>
      </c>
      <c r="AH124">
        <f>(AA124+AB124+Y124)/3</f>
        <v/>
      </c>
      <c r="AI124">
        <f>0.7*AA124+0.3*Y124</f>
        <v/>
      </c>
    </row>
    <row r="125">
      <c r="A125" t="inlineStr">
        <is>
          <t>2015-10-01</t>
        </is>
      </c>
      <c r="B125" t="n">
        <v>787638.2324743492</v>
      </c>
      <c r="C125" t="n">
        <v>433291.9520854703</v>
      </c>
      <c r="D125" t="n">
        <v>64.78448960819236</v>
      </c>
      <c r="E125" t="n">
        <v>0.7286705941202097</v>
      </c>
      <c r="F125" t="n">
        <v>0.0358682674869739</v>
      </c>
      <c r="G125" t="n">
        <v>0.1967887039819399</v>
      </c>
      <c r="H125" t="n">
        <v>1.955898893312906</v>
      </c>
      <c r="I125" t="n">
        <v>83.88527002724375</v>
      </c>
      <c r="J125" t="n">
        <v>1357.679416757852</v>
      </c>
      <c r="K125" t="n">
        <v>854.9717001782108</v>
      </c>
      <c r="L125" t="n">
        <v>1.872452867602988</v>
      </c>
      <c r="M125" t="n">
        <v>1.51985713288741</v>
      </c>
      <c r="N125" t="n">
        <v>0.7286705941202097</v>
      </c>
      <c r="O125" t="n">
        <v>0.7286705941202097</v>
      </c>
      <c r="P125" t="n">
        <v>0.2004648334656811</v>
      </c>
      <c r="Q125" t="n">
        <v>-0.06809413051233919</v>
      </c>
      <c r="R125" t="n">
        <v>-0.1645965659787072</v>
      </c>
      <c r="S125" t="n">
        <v>1.755434059847225</v>
      </c>
      <c r="T125" t="n">
        <v>2.023993023825246</v>
      </c>
      <c r="U125" t="n">
        <v>-0.003676129483741186</v>
      </c>
      <c r="V125">
        <f>T125-R125</f>
        <v/>
      </c>
      <c r="W125">
        <f>T125-Settings!$B$5</f>
        <v/>
      </c>
      <c r="X125">
        <f>0.5*(R125+W125)</f>
        <v/>
      </c>
      <c r="Y125">
        <f>AVERAGE(L106:L125)</f>
        <v/>
      </c>
      <c r="Z125">
        <f>AVERAGE(M106:M125)</f>
        <v/>
      </c>
      <c r="AA125">
        <f>AVERAGE(R106:R125)</f>
        <v/>
      </c>
      <c r="AB125">
        <f>AVERAGE(W106:W125)</f>
        <v/>
      </c>
      <c r="AC125">
        <f>AVERAGE(X106:X125)</f>
        <v/>
      </c>
      <c r="AD125">
        <f>0.5*Y125+0.5*AA125</f>
        <v/>
      </c>
      <c r="AE125">
        <f>Settings!$B$3+Settings!$B$4*Z125</f>
        <v/>
      </c>
      <c r="AF125">
        <f>AC125</f>
        <v/>
      </c>
      <c r="AG125">
        <f>0.5*Y125+0.5*AC125</f>
        <v/>
      </c>
      <c r="AH125">
        <f>(AA125+AB125+Y125)/3</f>
        <v/>
      </c>
      <c r="AI125">
        <f>0.7*AA125+0.3*Y125</f>
        <v/>
      </c>
    </row>
    <row r="126">
      <c r="A126" t="inlineStr">
        <is>
          <t>2016-01-01</t>
        </is>
      </c>
      <c r="B126" t="n">
        <v>790437.2119563831</v>
      </c>
      <c r="C126" t="n">
        <v>434232.6887993304</v>
      </c>
      <c r="D126" t="n">
        <v>64.97674757172737</v>
      </c>
      <c r="E126" t="n">
        <v>0.7914021027863789</v>
      </c>
      <c r="F126" t="n">
        <v>-0.06430899317588</v>
      </c>
      <c r="G126" t="n">
        <v>0.1341550934696221</v>
      </c>
      <c r="H126" t="n">
        <v>0.564626922519831</v>
      </c>
      <c r="I126" t="n">
        <v>83.96517825339041</v>
      </c>
      <c r="J126" t="n">
        <v>1358.03415042119</v>
      </c>
      <c r="K126" t="n">
        <v>855.0933650419615</v>
      </c>
      <c r="L126" t="n">
        <v>1.418934653353062</v>
      </c>
      <c r="M126" t="n">
        <v>0.4866594550030641</v>
      </c>
      <c r="N126" t="n">
        <v>0.7914021027863789</v>
      </c>
      <c r="O126" t="n">
        <v>0.7914021027863789</v>
      </c>
      <c r="P126" t="n">
        <v>0.7413128178084063</v>
      </c>
      <c r="Q126" t="n">
        <v>-0.01238362774881223</v>
      </c>
      <c r="R126" t="n">
        <v>-0.8056218109842863</v>
      </c>
      <c r="S126" t="n">
        <v>-0.1766858952885753</v>
      </c>
      <c r="T126" t="n">
        <v>0.5770105502686432</v>
      </c>
      <c r="U126" t="n">
        <v>-0.6071577243387842</v>
      </c>
      <c r="V126">
        <f>T126-R126</f>
        <v/>
      </c>
      <c r="W126">
        <f>T126-Settings!$B$5</f>
        <v/>
      </c>
      <c r="X126">
        <f>0.5*(R126+W126)</f>
        <v/>
      </c>
      <c r="Y126">
        <f>AVERAGE(L107:L126)</f>
        <v/>
      </c>
      <c r="Z126">
        <f>AVERAGE(M107:M126)</f>
        <v/>
      </c>
      <c r="AA126">
        <f>AVERAGE(R107:R126)</f>
        <v/>
      </c>
      <c r="AB126">
        <f>AVERAGE(W107:W126)</f>
        <v/>
      </c>
      <c r="AC126">
        <f>AVERAGE(X107:X126)</f>
        <v/>
      </c>
      <c r="AD126">
        <f>0.5*Y126+0.5*AA126</f>
        <v/>
      </c>
      <c r="AE126">
        <f>Settings!$B$3+Settings!$B$4*Z126</f>
        <v/>
      </c>
      <c r="AF126">
        <f>AC126</f>
        <v/>
      </c>
      <c r="AG126">
        <f>0.5*Y126+0.5*AC126</f>
        <v/>
      </c>
      <c r="AH126">
        <f>(AA126+AB126+Y126)/3</f>
        <v/>
      </c>
      <c r="AI126">
        <f>0.7*AA126+0.3*Y126</f>
        <v/>
      </c>
    </row>
    <row r="127">
      <c r="A127" t="inlineStr">
        <is>
          <t>2016-04-01</t>
        </is>
      </c>
      <c r="B127" t="n">
        <v>792537.2372802164</v>
      </c>
      <c r="C127" t="n">
        <v>435715.0775725285</v>
      </c>
      <c r="D127" t="n">
        <v>65.17573334062142</v>
      </c>
      <c r="E127" t="n">
        <v>0.9184223589767252</v>
      </c>
      <c r="F127" t="n">
        <v>-0.0879177739161624</v>
      </c>
      <c r="G127" t="n">
        <v>0.1096903391681333</v>
      </c>
      <c r="H127" t="n">
        <v>0.4765123945267341</v>
      </c>
      <c r="I127" t="n">
        <v>83.91701100813471</v>
      </c>
      <c r="J127" t="n">
        <v>1358.299477073409</v>
      </c>
      <c r="K127" t="n">
        <v>855.4915470610063</v>
      </c>
      <c r="L127" t="n">
        <v>1.061306608874474</v>
      </c>
      <c r="M127" t="n">
        <v>1.592728076178901</v>
      </c>
      <c r="N127" t="n">
        <v>0.9184223589767252</v>
      </c>
      <c r="O127" t="n">
        <v>0.9184223589767252</v>
      </c>
      <c r="P127" t="n">
        <v>0.7790364612606894</v>
      </c>
      <c r="Q127" t="n">
        <v>0.058016887677135</v>
      </c>
      <c r="R127" t="n">
        <v>-0.8669542351768518</v>
      </c>
      <c r="S127" t="n">
        <v>-0.3025240667339553</v>
      </c>
      <c r="T127" t="n">
        <v>0.4184955068495991</v>
      </c>
      <c r="U127" t="n">
        <v>-0.6693461220925561</v>
      </c>
      <c r="V127">
        <f>T127-R127</f>
        <v/>
      </c>
      <c r="W127">
        <f>T127-Settings!$B$5</f>
        <v/>
      </c>
      <c r="X127">
        <f>0.5*(R127+W127)</f>
        <v/>
      </c>
      <c r="Y127">
        <f>AVERAGE(L108:L127)</f>
        <v/>
      </c>
      <c r="Z127">
        <f>AVERAGE(M108:M127)</f>
        <v/>
      </c>
      <c r="AA127">
        <f>AVERAGE(R108:R127)</f>
        <v/>
      </c>
      <c r="AB127">
        <f>AVERAGE(W108:W127)</f>
        <v/>
      </c>
      <c r="AC127">
        <f>AVERAGE(X108:X127)</f>
        <v/>
      </c>
      <c r="AD127">
        <f>0.5*Y127+0.5*AA127</f>
        <v/>
      </c>
      <c r="AE127">
        <f>Settings!$B$3+Settings!$B$4*Z127</f>
        <v/>
      </c>
      <c r="AF127">
        <f>AC127</f>
        <v/>
      </c>
      <c r="AG127">
        <f>0.5*Y127+0.5*AC127</f>
        <v/>
      </c>
      <c r="AH127">
        <f>(AA127+AB127+Y127)/3</f>
        <v/>
      </c>
      <c r="AI127">
        <f>0.7*AA127+0.3*Y127</f>
        <v/>
      </c>
    </row>
    <row r="128">
      <c r="A128" t="inlineStr">
        <is>
          <t>2016-07-01</t>
        </is>
      </c>
      <c r="B128" t="n">
        <v>797780.1670878552</v>
      </c>
      <c r="C128" t="n">
        <v>438337.0650765061</v>
      </c>
      <c r="D128" t="n">
        <v>65.27696695418179</v>
      </c>
      <c r="E128" t="n">
        <v>0.9334612588769344</v>
      </c>
      <c r="F128" t="n">
        <v>-0.1306988400696448</v>
      </c>
      <c r="G128" t="n">
        <v>0.1232279949296943</v>
      </c>
      <c r="H128" t="n">
        <v>0.5028852856236575</v>
      </c>
      <c r="I128" t="n">
        <v>83.92436991448429</v>
      </c>
      <c r="J128" t="n">
        <v>1358.958835864062</v>
      </c>
      <c r="K128" t="n">
        <v>856.0827413255627</v>
      </c>
      <c r="L128" t="n">
        <v>2.637435162614565</v>
      </c>
      <c r="M128" t="n">
        <v>2.364777058225627</v>
      </c>
      <c r="N128" t="n">
        <v>0.9334612588769344</v>
      </c>
      <c r="O128" t="n">
        <v>0.9334612588769344</v>
      </c>
      <c r="P128" t="n">
        <v>0.8429890786900621</v>
      </c>
      <c r="Q128" t="n">
        <v>0.1217861946078701</v>
      </c>
      <c r="R128" t="n">
        <v>-0.9736879187597069</v>
      </c>
      <c r="S128" t="n">
        <v>-0.3401037930664046</v>
      </c>
      <c r="T128" t="n">
        <v>0.3810990910157874</v>
      </c>
      <c r="U128" t="n">
        <v>-0.7197610837603678</v>
      </c>
      <c r="V128">
        <f>T128-R128</f>
        <v/>
      </c>
      <c r="W128">
        <f>T128-Settings!$B$5</f>
        <v/>
      </c>
      <c r="X128">
        <f>0.5*(R128+W128)</f>
        <v/>
      </c>
      <c r="Y128">
        <f>AVERAGE(L109:L128)</f>
        <v/>
      </c>
      <c r="Z128">
        <f>AVERAGE(M109:M128)</f>
        <v/>
      </c>
      <c r="AA128">
        <f>AVERAGE(R109:R128)</f>
        <v/>
      </c>
      <c r="AB128">
        <f>AVERAGE(W109:W128)</f>
        <v/>
      </c>
      <c r="AC128">
        <f>AVERAGE(X109:X128)</f>
        <v/>
      </c>
      <c r="AD128">
        <f>0.5*Y128+0.5*AA128</f>
        <v/>
      </c>
      <c r="AE128">
        <f>Settings!$B$3+Settings!$B$4*Z128</f>
        <v/>
      </c>
      <c r="AF128">
        <f>AC128</f>
        <v/>
      </c>
      <c r="AG128">
        <f>0.5*Y128+0.5*AC128</f>
        <v/>
      </c>
      <c r="AH128">
        <f>(AA128+AB128+Y128)/3</f>
        <v/>
      </c>
      <c r="AI128">
        <f>0.7*AA128+0.3*Y128</f>
        <v/>
      </c>
    </row>
    <row r="129">
      <c r="A129" t="inlineStr">
        <is>
          <t>2016-10-01</t>
        </is>
      </c>
      <c r="B129" t="n">
        <v>797232.9763866186</v>
      </c>
      <c r="C129" t="n">
        <v>438745.7999793415</v>
      </c>
      <c r="D129" t="n">
        <v>65.38281068950121</v>
      </c>
      <c r="E129" t="n">
        <v>0.919317361322243</v>
      </c>
      <c r="F129" t="n">
        <v>-0.0274410575489467</v>
      </c>
      <c r="G129" t="n">
        <v>0.1993853423064555</v>
      </c>
      <c r="H129" t="n">
        <v>0.2794995048657756</v>
      </c>
      <c r="I129" t="n">
        <v>83.81141628081564</v>
      </c>
      <c r="J129" t="n">
        <v>1358.890223172695</v>
      </c>
      <c r="K129" t="n">
        <v>856.3106250342532</v>
      </c>
      <c r="L129" t="n">
        <v>-0.2744507654715562</v>
      </c>
      <c r="M129" t="n">
        <v>0.9115348347622785</v>
      </c>
      <c r="N129" t="n">
        <v>0.919317361322243</v>
      </c>
      <c r="O129" t="n">
        <v>0.919317361322243</v>
      </c>
      <c r="P129" t="n">
        <v>0.8906507704905705</v>
      </c>
      <c r="Q129" t="n">
        <v>0.1888971734156404</v>
      </c>
      <c r="R129" t="n">
        <v>-0.9180918280395172</v>
      </c>
      <c r="S129" t="n">
        <v>-0.6111512656247948</v>
      </c>
      <c r="T129" t="n">
        <v>0.09060233145013522</v>
      </c>
      <c r="U129" t="n">
        <v>-0.6912654281841151</v>
      </c>
      <c r="V129">
        <f>T129-R129</f>
        <v/>
      </c>
      <c r="W129">
        <f>T129-Settings!$B$5</f>
        <v/>
      </c>
      <c r="X129">
        <f>0.5*(R129+W129)</f>
        <v/>
      </c>
      <c r="Y129">
        <f>AVERAGE(L110:L129)</f>
        <v/>
      </c>
      <c r="Z129">
        <f>AVERAGE(M110:M129)</f>
        <v/>
      </c>
      <c r="AA129">
        <f>AVERAGE(R110:R129)</f>
        <v/>
      </c>
      <c r="AB129">
        <f>AVERAGE(W110:W129)</f>
        <v/>
      </c>
      <c r="AC129">
        <f>AVERAGE(X110:X129)</f>
        <v/>
      </c>
      <c r="AD129">
        <f>0.5*Y129+0.5*AA129</f>
        <v/>
      </c>
      <c r="AE129">
        <f>Settings!$B$3+Settings!$B$4*Z129</f>
        <v/>
      </c>
      <c r="AF129">
        <f>AC129</f>
        <v/>
      </c>
      <c r="AG129">
        <f>0.5*Y129+0.5*AC129</f>
        <v/>
      </c>
      <c r="AH129">
        <f>(AA129+AB129+Y129)/3</f>
        <v/>
      </c>
      <c r="AI129">
        <f>0.7*AA129+0.3*Y129</f>
        <v/>
      </c>
    </row>
    <row r="130">
      <c r="A130" t="inlineStr">
        <is>
          <t>2017-01-01</t>
        </is>
      </c>
      <c r="B130" t="n">
        <v>798562.1219493644</v>
      </c>
      <c r="C130" t="n">
        <v>441801.9611933453</v>
      </c>
      <c r="D130" t="n">
        <v>65.53383476326692</v>
      </c>
      <c r="E130" t="n">
        <v>0.8537094311227493</v>
      </c>
      <c r="F130" t="n">
        <v>-0.1220326210784871</v>
      </c>
      <c r="G130" t="n">
        <v>0.0783107420942568</v>
      </c>
      <c r="H130" t="n">
        <v>0.5162559525600178</v>
      </c>
      <c r="I130" t="n">
        <v>83.74238755793615</v>
      </c>
      <c r="J130" t="n">
        <v>1359.056804191961</v>
      </c>
      <c r="K130" t="n">
        <v>857.0871737312581</v>
      </c>
      <c r="L130" t="n">
        <v>0.6663240770649281</v>
      </c>
      <c r="M130" t="n">
        <v>3.106194788019366</v>
      </c>
      <c r="N130" t="n">
        <v>0.8537094311227493</v>
      </c>
      <c r="O130" t="n">
        <v>0.8537094311227493</v>
      </c>
      <c r="P130" t="n">
        <v>0.9062276025746631</v>
      </c>
      <c r="Q130" t="n">
        <v>0.2429883066672579</v>
      </c>
      <c r="R130" t="n">
        <v>-1.02826022365315</v>
      </c>
      <c r="S130" t="n">
        <v>-0.3899716500146453</v>
      </c>
      <c r="T130" t="n">
        <v>0.2732676458927599</v>
      </c>
      <c r="U130" t="n">
        <v>-0.8279168604804062</v>
      </c>
      <c r="V130">
        <f>T130-R130</f>
        <v/>
      </c>
      <c r="W130">
        <f>T130-Settings!$B$5</f>
        <v/>
      </c>
      <c r="X130">
        <f>0.5*(R130+W130)</f>
        <v/>
      </c>
      <c r="Y130">
        <f>AVERAGE(L111:L130)</f>
        <v/>
      </c>
      <c r="Z130">
        <f>AVERAGE(M111:M130)</f>
        <v/>
      </c>
      <c r="AA130">
        <f>AVERAGE(R111:R130)</f>
        <v/>
      </c>
      <c r="AB130">
        <f>AVERAGE(W111:W130)</f>
        <v/>
      </c>
      <c r="AC130">
        <f>AVERAGE(X111:X130)</f>
        <v/>
      </c>
      <c r="AD130">
        <f>0.5*Y130+0.5*AA130</f>
        <v/>
      </c>
      <c r="AE130">
        <f>Settings!$B$3+Settings!$B$4*Z130</f>
        <v/>
      </c>
      <c r="AF130">
        <f>AC130</f>
        <v/>
      </c>
      <c r="AG130">
        <f>0.5*Y130+0.5*AC130</f>
        <v/>
      </c>
      <c r="AH130">
        <f>(AA130+AB130+Y130)/3</f>
        <v/>
      </c>
      <c r="AI130">
        <f>0.7*AA130+0.3*Y130</f>
        <v/>
      </c>
    </row>
    <row r="131">
      <c r="A131" t="inlineStr">
        <is>
          <t>2017-04-01</t>
        </is>
      </c>
      <c r="B131" t="n">
        <v>799769.29432267</v>
      </c>
      <c r="C131" t="n">
        <v>435380.1987462332</v>
      </c>
      <c r="D131" t="n">
        <v>65.5905955245106</v>
      </c>
      <c r="E131" t="n">
        <v>0.6345113139861668</v>
      </c>
      <c r="F131" t="n">
        <v>-0.0983946163014532</v>
      </c>
      <c r="G131" t="n">
        <v>0.1090690029925792</v>
      </c>
      <c r="H131" t="n">
        <v>0.1367641011770682</v>
      </c>
      <c r="I131" t="n">
        <v>83.76297814014649</v>
      </c>
      <c r="J131" t="n">
        <v>1359.207858296329</v>
      </c>
      <c r="K131" t="n">
        <v>855.5983826876851</v>
      </c>
      <c r="L131" t="n">
        <v>0.6042164174723439</v>
      </c>
      <c r="M131" t="n">
        <v>-5.955164174291895</v>
      </c>
      <c r="N131" t="n">
        <v>0.6345113139861668</v>
      </c>
      <c r="O131" t="n">
        <v>0.6345113139861668</v>
      </c>
      <c r="P131" t="n">
        <v>0.8352498413270235</v>
      </c>
      <c r="Q131" t="n">
        <v>0.2720152087574543</v>
      </c>
      <c r="R131" t="n">
        <v>-0.9336444576284767</v>
      </c>
      <c r="S131" t="n">
        <v>-0.6984857401499553</v>
      </c>
      <c r="T131" t="n">
        <v>-0.1352511075803861</v>
      </c>
      <c r="U131" t="n">
        <v>-0.7261808383344444</v>
      </c>
      <c r="V131">
        <f>T131-R131</f>
        <v/>
      </c>
      <c r="W131">
        <f>T131-Settings!$B$5</f>
        <v/>
      </c>
      <c r="X131">
        <f>0.5*(R131+W131)</f>
        <v/>
      </c>
      <c r="Y131">
        <f>AVERAGE(L112:L131)</f>
        <v/>
      </c>
      <c r="Z131">
        <f>AVERAGE(M112:M131)</f>
        <v/>
      </c>
      <c r="AA131">
        <f>AVERAGE(R112:R131)</f>
        <v/>
      </c>
      <c r="AB131">
        <f>AVERAGE(W112:W131)</f>
        <v/>
      </c>
      <c r="AC131">
        <f>AVERAGE(X112:X131)</f>
        <v/>
      </c>
      <c r="AD131">
        <f>0.5*Y131+0.5*AA131</f>
        <v/>
      </c>
      <c r="AE131">
        <f>Settings!$B$3+Settings!$B$4*Z131</f>
        <v/>
      </c>
      <c r="AF131">
        <f>AC131</f>
        <v/>
      </c>
      <c r="AG131">
        <f>0.5*Y131+0.5*AC131</f>
        <v/>
      </c>
      <c r="AH131">
        <f>(AA131+AB131+Y131)/3</f>
        <v/>
      </c>
      <c r="AI131">
        <f>0.7*AA131+0.3*Y131</f>
        <v/>
      </c>
    </row>
    <row r="132">
      <c r="A132" t="inlineStr">
        <is>
          <t>2017-07-01</t>
        </is>
      </c>
      <c r="B132" t="n">
        <v>802812.7760044538</v>
      </c>
      <c r="C132" t="n">
        <v>441128.9027789289</v>
      </c>
      <c r="D132" t="n">
        <v>65.70546660242233</v>
      </c>
      <c r="E132" t="n">
        <v>0.6542880067975776</v>
      </c>
      <c r="F132" t="n">
        <v>-0.0865543276160699</v>
      </c>
      <c r="G132" t="n">
        <v>0.1147720437270559</v>
      </c>
      <c r="H132" t="n">
        <v>0.3410993316433882</v>
      </c>
      <c r="I132" t="n">
        <v>83.75510156486203</v>
      </c>
      <c r="J132" t="n">
        <v>1359.587681008319</v>
      </c>
      <c r="K132" t="n">
        <v>856.919532521224</v>
      </c>
      <c r="L132" t="n">
        <v>1.519290847959383</v>
      </c>
      <c r="M132" t="n">
        <v>5.2845993341557</v>
      </c>
      <c r="N132" t="n">
        <v>0.6542880067975776</v>
      </c>
      <c r="O132" t="n">
        <v>0.6542880067975776</v>
      </c>
      <c r="P132" t="n">
        <v>0.7654565283071844</v>
      </c>
      <c r="Q132" t="n">
        <v>0.2967156214941814</v>
      </c>
      <c r="R132" t="n">
        <v>-0.8520108559232542</v>
      </c>
      <c r="S132" t="n">
        <v>-0.4243571966637962</v>
      </c>
      <c r="T132" t="n">
        <v>0.04438371014920678</v>
      </c>
      <c r="U132" t="n">
        <v>-0.6506844845801285</v>
      </c>
      <c r="V132">
        <f>T132-R132</f>
        <v/>
      </c>
      <c r="W132">
        <f>T132-Settings!$B$5</f>
        <v/>
      </c>
      <c r="X132">
        <f>0.5*(R132+W132)</f>
        <v/>
      </c>
      <c r="Y132">
        <f>AVERAGE(L113:L132)</f>
        <v/>
      </c>
      <c r="Z132">
        <f>AVERAGE(M113:M132)</f>
        <v/>
      </c>
      <c r="AA132">
        <f>AVERAGE(R113:R132)</f>
        <v/>
      </c>
      <c r="AB132">
        <f>AVERAGE(W113:W132)</f>
        <v/>
      </c>
      <c r="AC132">
        <f>AVERAGE(X113:X132)</f>
        <v/>
      </c>
      <c r="AD132">
        <f>0.5*Y132+0.5*AA132</f>
        <v/>
      </c>
      <c r="AE132">
        <f>Settings!$B$3+Settings!$B$4*Z132</f>
        <v/>
      </c>
      <c r="AF132">
        <f>AC132</f>
        <v/>
      </c>
      <c r="AG132">
        <f>0.5*Y132+0.5*AC132</f>
        <v/>
      </c>
      <c r="AH132">
        <f>(AA132+AB132+Y132)/3</f>
        <v/>
      </c>
      <c r="AI132">
        <f>0.7*AA132+0.3*Y132</f>
        <v/>
      </c>
    </row>
    <row r="133">
      <c r="A133" t="inlineStr">
        <is>
          <t>2017-10-01</t>
        </is>
      </c>
      <c r="B133" t="n">
        <v>803985.8447144664</v>
      </c>
      <c r="C133" t="n">
        <v>442504.5345107113</v>
      </c>
      <c r="D133" t="n">
        <v>65.80282235927767</v>
      </c>
      <c r="E133" t="n">
        <v>0.6403339987022577</v>
      </c>
      <c r="F133" t="n">
        <v>-0.1309832967064307</v>
      </c>
      <c r="G133" t="n">
        <v>0.0629292837497028</v>
      </c>
      <c r="H133" t="n">
        <v>0.5141935633876676</v>
      </c>
      <c r="I133" t="n">
        <v>83.728949435817</v>
      </c>
      <c r="J133" t="n">
        <v>1359.733694192958</v>
      </c>
      <c r="K133" t="n">
        <v>857.2621201768079</v>
      </c>
      <c r="L133" t="n">
        <v>0.5840527385571477</v>
      </c>
      <c r="M133" t="n">
        <v>1.370350622335536</v>
      </c>
      <c r="N133" t="n">
        <v>0.6403339987022577</v>
      </c>
      <c r="O133" t="n">
        <v>0.6403339987022577</v>
      </c>
      <c r="P133" t="n">
        <v>0.6957106876521879</v>
      </c>
      <c r="Q133" t="n">
        <v>0.3055949920005039</v>
      </c>
      <c r="R133" t="n">
        <v>-0.8266939843586186</v>
      </c>
      <c r="S133" t="n">
        <v>-0.1815171242645203</v>
      </c>
      <c r="T133" t="n">
        <v>0.2085985713871638</v>
      </c>
      <c r="U133" t="n">
        <v>-0.6327814039024851</v>
      </c>
      <c r="V133">
        <f>T133-R133</f>
        <v/>
      </c>
      <c r="W133">
        <f>T133-Settings!$B$5</f>
        <v/>
      </c>
      <c r="X133">
        <f>0.5*(R133+W133)</f>
        <v/>
      </c>
      <c r="Y133">
        <f>AVERAGE(L114:L133)</f>
        <v/>
      </c>
      <c r="Z133">
        <f>AVERAGE(M114:M133)</f>
        <v/>
      </c>
      <c r="AA133">
        <f>AVERAGE(R114:R133)</f>
        <v/>
      </c>
      <c r="AB133">
        <f>AVERAGE(W114:W133)</f>
        <v/>
      </c>
      <c r="AC133">
        <f>AVERAGE(X114:X133)</f>
        <v/>
      </c>
      <c r="AD133">
        <f>0.5*Y133+0.5*AA133</f>
        <v/>
      </c>
      <c r="AE133">
        <f>Settings!$B$3+Settings!$B$4*Z133</f>
        <v/>
      </c>
      <c r="AF133">
        <f>AC133</f>
        <v/>
      </c>
      <c r="AG133">
        <f>0.5*Y133+0.5*AC133</f>
        <v/>
      </c>
      <c r="AH133">
        <f>(AA133+AB133+Y133)/3</f>
        <v/>
      </c>
      <c r="AI133">
        <f>0.7*AA133+0.3*Y133</f>
        <v/>
      </c>
    </row>
    <row r="134">
      <c r="A134" t="inlineStr">
        <is>
          <t>2018-01-01</t>
        </is>
      </c>
      <c r="B134" t="n">
        <v>810474.6533405636</v>
      </c>
      <c r="C134" t="n">
        <v>446289.1422719721</v>
      </c>
      <c r="D134" t="n">
        <v>65.91711777475049</v>
      </c>
      <c r="E134" t="n">
        <v>0.5831591027515952</v>
      </c>
      <c r="F134" t="n">
        <v>-0.07644318533000349</v>
      </c>
      <c r="G134" t="n">
        <v>0.0910839987483478</v>
      </c>
      <c r="H134" t="n">
        <v>0.571309748396676</v>
      </c>
      <c r="I134" t="n">
        <v>83.75668402393784</v>
      </c>
      <c r="J134" t="n">
        <v>1360.537534680096</v>
      </c>
      <c r="K134" t="n">
        <v>858.0806345242448</v>
      </c>
      <c r="L134" t="n">
        <v>3.215361948551617</v>
      </c>
      <c r="M134" t="n">
        <v>3.274057389747668</v>
      </c>
      <c r="N134" t="n">
        <v>0.5831591027515952</v>
      </c>
      <c r="O134" t="n">
        <v>0.5831591027515952</v>
      </c>
      <c r="P134" t="n">
        <v>0.6280731055593994</v>
      </c>
      <c r="Q134" t="n">
        <v>0.3103231580939039</v>
      </c>
      <c r="R134" t="n">
        <v>-0.7045162908894029</v>
      </c>
      <c r="S134" t="n">
        <v>-0.0567633571627234</v>
      </c>
      <c r="T134" t="n">
        <v>0.2609865903027721</v>
      </c>
      <c r="U134" t="n">
        <v>-0.5369891068110516</v>
      </c>
      <c r="V134">
        <f>T134-R134</f>
        <v/>
      </c>
      <c r="W134">
        <f>T134-Settings!$B$5</f>
        <v/>
      </c>
      <c r="X134">
        <f>0.5*(R134+W134)</f>
        <v/>
      </c>
      <c r="Y134">
        <f>AVERAGE(L115:L134)</f>
        <v/>
      </c>
      <c r="Z134">
        <f>AVERAGE(M115:M134)</f>
        <v/>
      </c>
      <c r="AA134">
        <f>AVERAGE(R115:R134)</f>
        <v/>
      </c>
      <c r="AB134">
        <f>AVERAGE(W115:W134)</f>
        <v/>
      </c>
      <c r="AC134">
        <f>AVERAGE(X115:X134)</f>
        <v/>
      </c>
      <c r="AD134">
        <f>0.5*Y134+0.5*AA134</f>
        <v/>
      </c>
      <c r="AE134">
        <f>Settings!$B$3+Settings!$B$4*Z134</f>
        <v/>
      </c>
      <c r="AF134">
        <f>AC134</f>
        <v/>
      </c>
      <c r="AG134">
        <f>0.5*Y134+0.5*AC134</f>
        <v/>
      </c>
      <c r="AH134">
        <f>(AA134+AB134+Y134)/3</f>
        <v/>
      </c>
      <c r="AI134">
        <f>0.7*AA134+0.3*Y134</f>
        <v/>
      </c>
    </row>
    <row r="135">
      <c r="A135" t="inlineStr">
        <is>
          <t>2018-04-01</t>
        </is>
      </c>
      <c r="B135" t="n">
        <v>815276.6473122027</v>
      </c>
      <c r="C135" t="n">
        <v>447735.5827607949</v>
      </c>
      <c r="D135" t="n">
        <v>65.97481873883696</v>
      </c>
      <c r="E135" t="n">
        <v>0.5840810197629408</v>
      </c>
      <c r="F135" t="n">
        <v>-0.1266726173582362</v>
      </c>
      <c r="G135" t="n">
        <v>0.06879582631355589</v>
      </c>
      <c r="H135" t="n">
        <v>0.3570845046277707</v>
      </c>
      <c r="I135" t="n">
        <v>83.65693647874983</v>
      </c>
      <c r="J135" t="n">
        <v>1361.128277917958</v>
      </c>
      <c r="K135" t="n">
        <v>858.5233773464765</v>
      </c>
      <c r="L135" t="n">
        <v>2.362972951448683</v>
      </c>
      <c r="M135" t="n">
        <v>1.77097128892683</v>
      </c>
      <c r="N135" t="n">
        <v>0.5840810197629408</v>
      </c>
      <c r="O135" t="n">
        <v>0.5840810197629408</v>
      </c>
      <c r="P135" t="n">
        <v>0.6154655320035929</v>
      </c>
      <c r="Q135" t="n">
        <v>0.3098533659869756</v>
      </c>
      <c r="R135" t="n">
        <v>-0.7421381493618291</v>
      </c>
      <c r="S135" t="n">
        <v>-0.2583810273758222</v>
      </c>
      <c r="T135" t="n">
        <v>0.04723113864079509</v>
      </c>
      <c r="U135" t="n">
        <v>-0.546669705690037</v>
      </c>
      <c r="V135">
        <f>T135-R135</f>
        <v/>
      </c>
      <c r="W135">
        <f>T135-Settings!$B$5</f>
        <v/>
      </c>
      <c r="X135">
        <f>0.5*(R135+W135)</f>
        <v/>
      </c>
      <c r="Y135">
        <f>AVERAGE(L116:L135)</f>
        <v/>
      </c>
      <c r="Z135">
        <f>AVERAGE(M116:M135)</f>
        <v/>
      </c>
      <c r="AA135">
        <f>AVERAGE(R116:R135)</f>
        <v/>
      </c>
      <c r="AB135">
        <f>AVERAGE(W116:W135)</f>
        <v/>
      </c>
      <c r="AC135">
        <f>AVERAGE(X116:X135)</f>
        <v/>
      </c>
      <c r="AD135">
        <f>0.5*Y135+0.5*AA135</f>
        <v/>
      </c>
      <c r="AE135">
        <f>Settings!$B$3+Settings!$B$4*Z135</f>
        <v/>
      </c>
      <c r="AF135">
        <f>AC135</f>
        <v/>
      </c>
      <c r="AG135">
        <f>0.5*Y135+0.5*AC135</f>
        <v/>
      </c>
      <c r="AH135">
        <f>(AA135+AB135+Y135)/3</f>
        <v/>
      </c>
      <c r="AI135">
        <f>0.7*AA135+0.3*Y135</f>
        <v/>
      </c>
    </row>
    <row r="136">
      <c r="A136" t="inlineStr">
        <is>
          <t>2018-07-01</t>
        </is>
      </c>
      <c r="B136" t="n">
        <v>817303.7327526181</v>
      </c>
      <c r="C136" t="n">
        <v>446369.4194042423</v>
      </c>
      <c r="D136" t="n">
        <v>65.9951305225828</v>
      </c>
      <c r="E136" t="n">
        <v>0.4398831798183991</v>
      </c>
      <c r="F136" t="n">
        <v>-0.1205819161108104</v>
      </c>
      <c r="G136" t="n">
        <v>0.0570351361896141</v>
      </c>
      <c r="H136" t="n">
        <v>0.4082078797012956</v>
      </c>
      <c r="I136" t="n">
        <v>83.66760172359015</v>
      </c>
      <c r="J136" t="n">
        <v>1361.376607066939</v>
      </c>
      <c r="K136" t="n">
        <v>858.2050356403469</v>
      </c>
      <c r="L136" t="n">
        <v>0.9933165959246253</v>
      </c>
      <c r="M136" t="n">
        <v>-1.273366824518689</v>
      </c>
      <c r="N136" t="n">
        <v>0.4398831798183991</v>
      </c>
      <c r="O136" t="n">
        <v>0.4398831798183991</v>
      </c>
      <c r="P136" t="n">
        <v>0.5618643252587983</v>
      </c>
      <c r="Q136" t="n">
        <v>0.2983629126430086</v>
      </c>
      <c r="R136" t="n">
        <v>-0.6824462413696086</v>
      </c>
      <c r="S136" t="n">
        <v>-0.1536564455575027</v>
      </c>
      <c r="T136" t="n">
        <v>0.1098449670582869</v>
      </c>
      <c r="U136" t="n">
        <v>-0.5048291890691842</v>
      </c>
      <c r="V136">
        <f>T136-R136</f>
        <v/>
      </c>
      <c r="W136">
        <f>T136-Settings!$B$5</f>
        <v/>
      </c>
      <c r="X136">
        <f>0.5*(R136+W136)</f>
        <v/>
      </c>
      <c r="Y136">
        <f>AVERAGE(L117:L136)</f>
        <v/>
      </c>
      <c r="Z136">
        <f>AVERAGE(M117:M136)</f>
        <v/>
      </c>
      <c r="AA136">
        <f>AVERAGE(R117:R136)</f>
        <v/>
      </c>
      <c r="AB136">
        <f>AVERAGE(W117:W136)</f>
        <v/>
      </c>
      <c r="AC136">
        <f>AVERAGE(X117:X136)</f>
        <v/>
      </c>
      <c r="AD136">
        <f>0.5*Y136+0.5*AA136</f>
        <v/>
      </c>
      <c r="AE136">
        <f>Settings!$B$3+Settings!$B$4*Z136</f>
        <v/>
      </c>
      <c r="AF136">
        <f>AC136</f>
        <v/>
      </c>
      <c r="AG136">
        <f>0.5*Y136+0.5*AC136</f>
        <v/>
      </c>
      <c r="AH136">
        <f>(AA136+AB136+Y136)/3</f>
        <v/>
      </c>
      <c r="AI136">
        <f>0.7*AA136+0.3*Y136</f>
        <v/>
      </c>
    </row>
    <row r="137">
      <c r="A137" t="inlineStr">
        <is>
          <t>2018-10-01</t>
        </is>
      </c>
      <c r="B137" t="n">
        <v>820610.4510044879</v>
      </c>
      <c r="C137" t="n">
        <v>451928.2810117436</v>
      </c>
      <c r="D137" t="n">
        <v>65.99151820791019</v>
      </c>
      <c r="E137" t="n">
        <v>0.2863491357155914</v>
      </c>
      <c r="F137" t="n">
        <v>-0.0318678680098329</v>
      </c>
      <c r="G137" t="n">
        <v>0.1306226658224726</v>
      </c>
      <c r="H137" t="n">
        <v>0.7051862308515802</v>
      </c>
      <c r="I137" t="n">
        <v>83.57556864252827</v>
      </c>
      <c r="J137" t="n">
        <v>1361.780379471766</v>
      </c>
      <c r="K137" t="n">
        <v>859.5527539635084</v>
      </c>
      <c r="L137" t="n">
        <v>1.615089619308492</v>
      </c>
      <c r="M137" t="n">
        <v>5.39087329264612</v>
      </c>
      <c r="N137" t="n">
        <v>0.2863491357155914</v>
      </c>
      <c r="O137" t="n">
        <v>0.2863491357155914</v>
      </c>
      <c r="P137" t="n">
        <v>0.4733681095121317</v>
      </c>
      <c r="Q137" t="n">
        <v>0.2758478650382766</v>
      </c>
      <c r="R137" t="n">
        <v>-0.5052359775219646</v>
      </c>
      <c r="S137" t="n">
        <v>0.2318181213394485</v>
      </c>
      <c r="T137" t="n">
        <v>0.4293383658133035</v>
      </c>
      <c r="U137" t="n">
        <v>-0.3427454436896591</v>
      </c>
      <c r="V137">
        <f>T137-R137</f>
        <v/>
      </c>
      <c r="W137">
        <f>T137-Settings!$B$5</f>
        <v/>
      </c>
      <c r="X137">
        <f>0.5*(R137+W137)</f>
        <v/>
      </c>
      <c r="Y137">
        <f>AVERAGE(L118:L137)</f>
        <v/>
      </c>
      <c r="Z137">
        <f>AVERAGE(M118:M137)</f>
        <v/>
      </c>
      <c r="AA137">
        <f>AVERAGE(R118:R137)</f>
        <v/>
      </c>
      <c r="AB137">
        <f>AVERAGE(W118:W137)</f>
        <v/>
      </c>
      <c r="AC137">
        <f>AVERAGE(X118:X137)</f>
        <v/>
      </c>
      <c r="AD137">
        <f>0.5*Y137+0.5*AA137</f>
        <v/>
      </c>
      <c r="AE137">
        <f>Settings!$B$3+Settings!$B$4*Z137</f>
        <v/>
      </c>
      <c r="AF137">
        <f>AC137</f>
        <v/>
      </c>
      <c r="AG137">
        <f>0.5*Y137+0.5*AC137</f>
        <v/>
      </c>
      <c r="AH137">
        <f>(AA137+AB137+Y137)/3</f>
        <v/>
      </c>
      <c r="AI137">
        <f>0.7*AA137+0.3*Y137</f>
        <v/>
      </c>
    </row>
    <row r="138">
      <c r="A138" t="inlineStr">
        <is>
          <t>2019-01-01</t>
        </is>
      </c>
      <c r="B138" t="n">
        <v>827261.7965113508</v>
      </c>
      <c r="C138" t="n">
        <v>458148.6096546872</v>
      </c>
      <c r="D138" t="n">
        <v>66.03521654141444</v>
      </c>
      <c r="E138" t="n">
        <v>0.1790022113820543</v>
      </c>
      <c r="F138" t="n">
        <v>-0.1520293026256216</v>
      </c>
      <c r="G138" t="n">
        <v>0.0633073518108043</v>
      </c>
      <c r="H138" t="n">
        <v>0.3995676842171107</v>
      </c>
      <c r="I138" t="n">
        <v>83.62251586390218</v>
      </c>
      <c r="J138" t="n">
        <v>1362.587648559316</v>
      </c>
      <c r="K138" t="n">
        <v>860.8636073350375</v>
      </c>
      <c r="L138" t="n">
        <v>3.229076350197829</v>
      </c>
      <c r="M138" t="n">
        <v>5.243413486116424</v>
      </c>
      <c r="N138" t="n">
        <v>0.1790022113820543</v>
      </c>
      <c r="O138" t="n">
        <v>0.1790022113820543</v>
      </c>
      <c r="P138" t="n">
        <v>0.3723288866697465</v>
      </c>
      <c r="Q138" t="n">
        <v>0.2485412530040977</v>
      </c>
      <c r="R138" t="n">
        <v>-0.5243581892953681</v>
      </c>
      <c r="S138" t="n">
        <v>0.02723879754736419</v>
      </c>
      <c r="T138" t="n">
        <v>0.151026431213013</v>
      </c>
      <c r="U138" t="n">
        <v>-0.3090215348589422</v>
      </c>
      <c r="V138">
        <f>T138-R138</f>
        <v/>
      </c>
      <c r="W138">
        <f>T138-Settings!$B$5</f>
        <v/>
      </c>
      <c r="X138">
        <f>0.5*(R138+W138)</f>
        <v/>
      </c>
      <c r="Y138">
        <f>AVERAGE(L119:L138)</f>
        <v/>
      </c>
      <c r="Z138">
        <f>AVERAGE(M119:M138)</f>
        <v/>
      </c>
      <c r="AA138">
        <f>AVERAGE(R119:R138)</f>
        <v/>
      </c>
      <c r="AB138">
        <f>AVERAGE(W119:W138)</f>
        <v/>
      </c>
      <c r="AC138">
        <f>AVERAGE(X119:X138)</f>
        <v/>
      </c>
      <c r="AD138">
        <f>0.5*Y138+0.5*AA138</f>
        <v/>
      </c>
      <c r="AE138">
        <f>Settings!$B$3+Settings!$B$4*Z138</f>
        <v/>
      </c>
      <c r="AF138">
        <f>AC138</f>
        <v/>
      </c>
      <c r="AG138">
        <f>0.5*Y138+0.5*AC138</f>
        <v/>
      </c>
      <c r="AH138">
        <f>(AA138+AB138+Y138)/3</f>
        <v/>
      </c>
      <c r="AI138">
        <f>0.7*AA138+0.3*Y138</f>
        <v/>
      </c>
    </row>
    <row r="139">
      <c r="A139" t="inlineStr">
        <is>
          <t>2019-04-01</t>
        </is>
      </c>
      <c r="B139" t="n">
        <v>835200.3102734447</v>
      </c>
      <c r="C139" t="n">
        <v>456550.4196548597</v>
      </c>
      <c r="D139" t="n">
        <v>66.1115969640359</v>
      </c>
      <c r="E139" t="n">
        <v>0.2071042254578097</v>
      </c>
      <c r="F139" t="n">
        <v>-0.2206390165464745</v>
      </c>
      <c r="G139" t="n">
        <v>-0.008901076748477401</v>
      </c>
      <c r="H139" t="n">
        <v>0.6036530146938239</v>
      </c>
      <c r="I139" t="n">
        <v>83.57515542750929</v>
      </c>
      <c r="J139" t="n">
        <v>1363.542686760642</v>
      </c>
      <c r="K139" t="n">
        <v>860.5708129189832</v>
      </c>
      <c r="L139" t="n">
        <v>3.820152805306861</v>
      </c>
      <c r="M139" t="n">
        <v>-1.171177664217339</v>
      </c>
      <c r="N139" t="n">
        <v>0.2071042254578097</v>
      </c>
      <c r="O139" t="n">
        <v>0.2071042254578097</v>
      </c>
      <c r="P139" t="n">
        <v>0.2780846880934637</v>
      </c>
      <c r="Q139" t="n">
        <v>0.3294104409954373</v>
      </c>
      <c r="R139" t="n">
        <v>-0.4987237046399382</v>
      </c>
      <c r="S139" t="n">
        <v>0.3255683266003602</v>
      </c>
      <c r="T139" t="n">
        <v>0.2742425736983866</v>
      </c>
      <c r="U139" t="n">
        <v>-0.2869857648419411</v>
      </c>
      <c r="V139">
        <f>T139-R139</f>
        <v/>
      </c>
      <c r="W139">
        <f>T139-Settings!$B$5</f>
        <v/>
      </c>
      <c r="X139">
        <f>0.5*(R139+W139)</f>
        <v/>
      </c>
      <c r="Y139">
        <f>AVERAGE(L120:L139)</f>
        <v/>
      </c>
      <c r="Z139">
        <f>AVERAGE(M120:M139)</f>
        <v/>
      </c>
      <c r="AA139">
        <f>AVERAGE(R120:R139)</f>
        <v/>
      </c>
      <c r="AB139">
        <f>AVERAGE(W120:W139)</f>
        <v/>
      </c>
      <c r="AC139">
        <f>AVERAGE(X120:X139)</f>
        <v/>
      </c>
      <c r="AD139">
        <f>0.5*Y139+0.5*AA139</f>
        <v/>
      </c>
      <c r="AE139">
        <f>Settings!$B$3+Settings!$B$4*Z139</f>
        <v/>
      </c>
      <c r="AF139">
        <f>AC139</f>
        <v/>
      </c>
      <c r="AG139">
        <f>0.5*Y139+0.5*AC139</f>
        <v/>
      </c>
      <c r="AH139">
        <f>(AA139+AB139+Y139)/3</f>
        <v/>
      </c>
      <c r="AI139">
        <f>0.7*AA139+0.3*Y139</f>
        <v/>
      </c>
    </row>
    <row r="140">
      <c r="A140" t="inlineStr">
        <is>
          <t>2019-07-01</t>
        </is>
      </c>
      <c r="B140" t="n">
        <v>845950.2632982336</v>
      </c>
      <c r="C140" t="n">
        <v>466883.087681466</v>
      </c>
      <c r="D140" t="n">
        <v>66.19628102721231</v>
      </c>
      <c r="E140" t="n">
        <v>0.3043324184573253</v>
      </c>
      <c r="F140" t="n">
        <v>-0.0194531502494052</v>
      </c>
      <c r="G140" t="n">
        <v>0.1269456244095524</v>
      </c>
      <c r="H140" t="n">
        <v>0.58035486443296</v>
      </c>
      <c r="I140" t="n">
        <v>83.51250933308577</v>
      </c>
      <c r="J140" t="n">
        <v>1364.821584643252</v>
      </c>
      <c r="K140" t="n">
        <v>862.8837724723347</v>
      </c>
      <c r="L140" t="n">
        <v>5.115591530436177</v>
      </c>
      <c r="M140" t="n">
        <v>9.251838213406245</v>
      </c>
      <c r="N140" t="n">
        <v>0.3043324184573253</v>
      </c>
      <c r="O140" t="n">
        <v>0.3043324184573253</v>
      </c>
      <c r="P140" t="n">
        <v>0.2441969977531953</v>
      </c>
      <c r="Q140" t="n">
        <v>0.4124961615268409</v>
      </c>
      <c r="R140" t="n">
        <v>-0.2636501480026004</v>
      </c>
      <c r="S140" t="n">
        <v>0.3361578666797648</v>
      </c>
      <c r="T140" t="n">
        <v>0.1678587029061191</v>
      </c>
      <c r="U140" t="n">
        <v>-0.1172513733436429</v>
      </c>
      <c r="V140">
        <f>T140-R140</f>
        <v/>
      </c>
      <c r="W140">
        <f>T140-Settings!$B$5</f>
        <v/>
      </c>
      <c r="X140">
        <f>0.5*(R140+W140)</f>
        <v/>
      </c>
      <c r="Y140">
        <f>AVERAGE(L121:L140)</f>
        <v/>
      </c>
      <c r="Z140">
        <f>AVERAGE(M121:M140)</f>
        <v/>
      </c>
      <c r="AA140">
        <f>AVERAGE(R121:R140)</f>
        <v/>
      </c>
      <c r="AB140">
        <f>AVERAGE(W121:W140)</f>
        <v/>
      </c>
      <c r="AC140">
        <f>AVERAGE(X121:X140)</f>
        <v/>
      </c>
      <c r="AD140">
        <f>0.5*Y140+0.5*AA140</f>
        <v/>
      </c>
      <c r="AE140">
        <f>Settings!$B$3+Settings!$B$4*Z140</f>
        <v/>
      </c>
      <c r="AF140">
        <f>AC140</f>
        <v/>
      </c>
      <c r="AG140">
        <f>0.5*Y140+0.5*AC140</f>
        <v/>
      </c>
      <c r="AH140">
        <f>(AA140+AB140+Y140)/3</f>
        <v/>
      </c>
      <c r="AI140">
        <f>0.7*AA140+0.3*Y140</f>
        <v/>
      </c>
    </row>
    <row r="141">
      <c r="A141" t="inlineStr">
        <is>
          <t>2019-10-01</t>
        </is>
      </c>
      <c r="B141" t="n">
        <v>858881.4072216133</v>
      </c>
      <c r="C141" t="n">
        <v>471764.4204116671</v>
      </c>
      <c r="D141" t="n">
        <v>66.39204246459784</v>
      </c>
      <c r="E141" t="n">
        <v>0.605098513338886</v>
      </c>
      <c r="F141" t="n">
        <v>0.0274663976303501</v>
      </c>
      <c r="G141" t="n">
        <v>0.2237858585054963</v>
      </c>
      <c r="H141" t="n">
        <v>0.6682700153184767</v>
      </c>
      <c r="I141" t="n">
        <v>83.51320853189127</v>
      </c>
      <c r="J141" t="n">
        <v>1366.338613232198</v>
      </c>
      <c r="K141" t="n">
        <v>863.9230225316476</v>
      </c>
      <c r="L141" t="n">
        <v>6.068114355787657</v>
      </c>
      <c r="M141" t="n">
        <v>4.157000237251395</v>
      </c>
      <c r="N141" t="n">
        <v>0.105098513338886</v>
      </c>
      <c r="O141" t="n">
        <v>0.105098513338886</v>
      </c>
      <c r="P141" t="n">
        <v>0.1988843421590189</v>
      </c>
      <c r="Q141" t="n">
        <v>0.4918157486559179</v>
      </c>
      <c r="R141" t="n">
        <v>-0.1714179445286688</v>
      </c>
      <c r="S141" t="n">
        <v>0.4693856731594578</v>
      </c>
      <c r="T141" t="n">
        <v>0.1764542666625588</v>
      </c>
      <c r="U141" t="n">
        <v>0.02490151634647739</v>
      </c>
      <c r="V141">
        <f>T141-R141</f>
        <v/>
      </c>
      <c r="W141">
        <f>T141-Settings!$B$5</f>
        <v/>
      </c>
      <c r="X141">
        <f>0.5*(R141+W141)</f>
        <v/>
      </c>
      <c r="Y141">
        <f>AVERAGE(L122:L141)</f>
        <v/>
      </c>
      <c r="Z141">
        <f>AVERAGE(M122:M141)</f>
        <v/>
      </c>
      <c r="AA141">
        <f>AVERAGE(R122:R141)</f>
        <v/>
      </c>
      <c r="AB141">
        <f>AVERAGE(W122:W141)</f>
        <v/>
      </c>
      <c r="AC141">
        <f>AVERAGE(X122:X141)</f>
        <v/>
      </c>
      <c r="AD141">
        <f>0.5*Y141+0.5*AA141</f>
        <v/>
      </c>
      <c r="AE141">
        <f>Settings!$B$3+Settings!$B$4*Z141</f>
        <v/>
      </c>
      <c r="AF141">
        <f>AC141</f>
        <v/>
      </c>
      <c r="AG141">
        <f>0.5*Y141+0.5*AC141</f>
        <v/>
      </c>
      <c r="AH141">
        <f>(AA141+AB141+Y141)/3</f>
        <v/>
      </c>
      <c r="AI141">
        <f>0.7*AA141+0.3*Y141</f>
        <v/>
      </c>
    </row>
    <row r="142">
      <c r="A142" t="inlineStr">
        <is>
          <t>2020-01-01</t>
        </is>
      </c>
      <c r="B142" t="n">
        <v>865072.3414418999</v>
      </c>
      <c r="C142" t="n">
        <v>475673.0921162484</v>
      </c>
      <c r="D142" t="n">
        <v>66.54688267711198</v>
      </c>
      <c r="E142" t="n">
        <v>0.7718518245561539</v>
      </c>
      <c r="F142" t="n">
        <v>-0.1202634632724665</v>
      </c>
      <c r="G142" t="n">
        <v>0.1096075783045311</v>
      </c>
      <c r="H142" t="n">
        <v>0.6414239765773941</v>
      </c>
      <c r="I142" t="n">
        <v>83.49079121267424</v>
      </c>
      <c r="J142" t="n">
        <v>1367.056841414182</v>
      </c>
      <c r="K142" t="n">
        <v>864.7749775106049</v>
      </c>
      <c r="L142" t="n">
        <v>2.872912727933908</v>
      </c>
      <c r="M142" t="n">
        <v>3.40781991582935</v>
      </c>
      <c r="N142" t="n">
        <v>0.2718518245561539</v>
      </c>
      <c r="O142" t="n">
        <v>0.2718518245561539</v>
      </c>
      <c r="P142" t="n">
        <v>0.2220967454525438</v>
      </c>
      <c r="Q142" t="n">
        <v>0.5740078316129518</v>
      </c>
      <c r="R142" t="n">
        <v>-0.3423602087250103</v>
      </c>
      <c r="S142" t="n">
        <v>0.4193272311248504</v>
      </c>
      <c r="T142" t="n">
        <v>0.06741614496444237</v>
      </c>
      <c r="U142" t="n">
        <v>-0.1124891671480127</v>
      </c>
      <c r="V142">
        <f>T142-R142</f>
        <v/>
      </c>
      <c r="W142">
        <f>T142-Settings!$B$5</f>
        <v/>
      </c>
      <c r="X142">
        <f>0.5*(R142+W142)</f>
        <v/>
      </c>
      <c r="Y142">
        <f>AVERAGE(L123:L142)</f>
        <v/>
      </c>
      <c r="Z142">
        <f>AVERAGE(M123:M142)</f>
        <v/>
      </c>
      <c r="AA142">
        <f>AVERAGE(R123:R142)</f>
        <v/>
      </c>
      <c r="AB142">
        <f>AVERAGE(W123:W142)</f>
        <v/>
      </c>
      <c r="AC142">
        <f>AVERAGE(X123:X142)</f>
        <v/>
      </c>
      <c r="AD142">
        <f>0.5*Y142+0.5*AA142</f>
        <v/>
      </c>
      <c r="AE142">
        <f>Settings!$B$3+Settings!$B$4*Z142</f>
        <v/>
      </c>
      <c r="AF142">
        <f>AC142</f>
        <v/>
      </c>
      <c r="AG142">
        <f>0.5*Y142+0.5*AC142</f>
        <v/>
      </c>
      <c r="AH142">
        <f>(AA142+AB142+Y142)/3</f>
        <v/>
      </c>
      <c r="AI142">
        <f>0.7*AA142+0.3*Y142</f>
        <v/>
      </c>
    </row>
    <row r="143">
      <c r="A143" t="inlineStr">
        <is>
          <t>2020-04-01</t>
        </is>
      </c>
      <c r="B143" t="n">
        <v>867132.9336239101</v>
      </c>
      <c r="C143" t="n">
        <v>474918.7307354541</v>
      </c>
      <c r="D143" t="n">
        <v>66.59870504511395</v>
      </c>
      <c r="E143" t="n">
        <v>0.7340956372009819</v>
      </c>
      <c r="F143" t="n">
        <v>-0.1968419020310092</v>
      </c>
      <c r="G143" t="n">
        <v>0.0349348101358803</v>
      </c>
      <c r="H143" t="n">
        <v>0.4162608095883326</v>
      </c>
      <c r="I143" t="n">
        <v>83.46149224353314</v>
      </c>
      <c r="J143" t="n">
        <v>1367.294756998859</v>
      </c>
      <c r="K143" t="n">
        <v>864.65136204414</v>
      </c>
      <c r="L143" t="n">
        <v>0.9516623387071377</v>
      </c>
      <c r="M143" t="n">
        <v>-0.4944618658596482</v>
      </c>
      <c r="N143" t="n">
        <v>0.2340956372009819</v>
      </c>
      <c r="O143" t="n">
        <v>0.2340956372009819</v>
      </c>
      <c r="P143" t="n">
        <v>0.2288445983883368</v>
      </c>
      <c r="Q143" t="n">
        <v>0.5473362242146212</v>
      </c>
      <c r="R143" t="n">
        <v>-0.4256865004193461</v>
      </c>
      <c r="S143" t="n">
        <v>0.1874162111999958</v>
      </c>
      <c r="T143" t="n">
        <v>-0.1310754146262886</v>
      </c>
      <c r="U143" t="n">
        <v>-0.1939097882524566</v>
      </c>
      <c r="V143">
        <f>T143-R143</f>
        <v/>
      </c>
      <c r="W143">
        <f>T143-Settings!$B$5</f>
        <v/>
      </c>
      <c r="X143">
        <f>0.5*(R143+W143)</f>
        <v/>
      </c>
      <c r="Y143">
        <f>AVERAGE(L124:L143)</f>
        <v/>
      </c>
      <c r="Z143">
        <f>AVERAGE(M124:M143)</f>
        <v/>
      </c>
      <c r="AA143">
        <f>AVERAGE(R124:R143)</f>
        <v/>
      </c>
      <c r="AB143">
        <f>AVERAGE(W124:W143)</f>
        <v/>
      </c>
      <c r="AC143">
        <f>AVERAGE(X124:X143)</f>
        <v/>
      </c>
      <c r="AD143">
        <f>0.5*Y143+0.5*AA143</f>
        <v/>
      </c>
      <c r="AE143">
        <f>Settings!$B$3+Settings!$B$4*Z143</f>
        <v/>
      </c>
      <c r="AF143">
        <f>AC143</f>
        <v/>
      </c>
      <c r="AG143">
        <f>0.5*Y143+0.5*AC143</f>
        <v/>
      </c>
      <c r="AH143">
        <f>(AA143+AB143+Y143)/3</f>
        <v/>
      </c>
      <c r="AI143">
        <f>0.7*AA143+0.3*Y143</f>
        <v/>
      </c>
    </row>
    <row r="144">
      <c r="A144" t="inlineStr">
        <is>
          <t>2020-07-01</t>
        </is>
      </c>
      <c r="B144" t="n">
        <v>865643.2184469755</v>
      </c>
      <c r="C144" t="n">
        <v>475467.2526367625</v>
      </c>
      <c r="D144" t="n">
        <v>66.71607410248072</v>
      </c>
      <c r="E144" t="n">
        <v>0.7821631401334608</v>
      </c>
      <c r="F144" t="n">
        <v>-0.1155241988097972</v>
      </c>
      <c r="G144" t="n">
        <v>0.1152509064767599</v>
      </c>
      <c r="H144" t="n">
        <v>0.3842414031211226</v>
      </c>
      <c r="I144" t="n">
        <v>83.53856706211339</v>
      </c>
      <c r="J144" t="n">
        <v>1367.122811471771</v>
      </c>
      <c r="K144" t="n">
        <v>864.6744883066648</v>
      </c>
      <c r="L144" t="n">
        <v>-0.6877821083517119</v>
      </c>
      <c r="M144" t="n">
        <v>0.09250505009913468</v>
      </c>
      <c r="N144" t="n">
        <v>0.2821631401334608</v>
      </c>
      <c r="O144" t="n">
        <v>0.2821631401334608</v>
      </c>
      <c r="P144" t="n">
        <v>0.2233022788073707</v>
      </c>
      <c r="Q144" t="n">
        <v>0.5275618417633221</v>
      </c>
      <c r="R144" t="n">
        <v>-0.3388264776171679</v>
      </c>
      <c r="S144" t="n">
        <v>0.1609391243137519</v>
      </c>
      <c r="T144" t="n">
        <v>-0.1433204386421995</v>
      </c>
      <c r="U144" t="n">
        <v>-0.1080513723306108</v>
      </c>
      <c r="V144">
        <f>T144-R144</f>
        <v/>
      </c>
      <c r="W144">
        <f>T144-Settings!$B$5</f>
        <v/>
      </c>
      <c r="X144">
        <f>0.5*(R144+W144)</f>
        <v/>
      </c>
      <c r="Y144">
        <f>AVERAGE(L125:L144)</f>
        <v/>
      </c>
      <c r="Z144">
        <f>AVERAGE(M125:M144)</f>
        <v/>
      </c>
      <c r="AA144">
        <f>AVERAGE(R125:R144)</f>
        <v/>
      </c>
      <c r="AB144">
        <f>AVERAGE(W125:W144)</f>
        <v/>
      </c>
      <c r="AC144">
        <f>AVERAGE(X125:X144)</f>
        <v/>
      </c>
      <c r="AD144">
        <f>0.5*Y144+0.5*AA144</f>
        <v/>
      </c>
      <c r="AE144">
        <f>Settings!$B$3+Settings!$B$4*Z144</f>
        <v/>
      </c>
      <c r="AF144">
        <f>AC144</f>
        <v/>
      </c>
      <c r="AG144">
        <f>0.5*Y144+0.5*AC144</f>
        <v/>
      </c>
      <c r="AH144">
        <f>(AA144+AB144+Y144)/3</f>
        <v/>
      </c>
      <c r="AI144">
        <f>0.7*AA144+0.3*Y144</f>
        <v/>
      </c>
    </row>
    <row r="145">
      <c r="A145" t="inlineStr">
        <is>
          <t>2020-10-01</t>
        </is>
      </c>
      <c r="B145" t="n">
        <v>869768.1445225065</v>
      </c>
      <c r="C145" t="n">
        <v>480866.5809781181</v>
      </c>
      <c r="D145" t="n">
        <v>66.79582684776859</v>
      </c>
      <c r="E145" t="n">
        <v>0.6063399352249725</v>
      </c>
      <c r="F145" t="n">
        <v>-0.1143111474920334</v>
      </c>
      <c r="G145" t="n">
        <v>0.0868562487150103</v>
      </c>
      <c r="H145" t="n">
        <v>0.4747161073385375</v>
      </c>
      <c r="I145" t="n">
        <v>83.4200776998846</v>
      </c>
      <c r="J145" t="n">
        <v>1367.598195456434</v>
      </c>
      <c r="K145" t="n">
        <v>865.9456111989224</v>
      </c>
      <c r="L145" t="n">
        <v>1.901535938653979</v>
      </c>
      <c r="M145" t="n">
        <v>5.084491569030433</v>
      </c>
      <c r="N145" t="n">
        <v>0.6063399352249725</v>
      </c>
      <c r="O145" t="n">
        <v>0.6063399352249725</v>
      </c>
      <c r="P145" t="n">
        <v>0.3486126342788923</v>
      </c>
      <c r="Q145" t="n">
        <v>0.5214453088185602</v>
      </c>
      <c r="R145" t="n">
        <v>-0.4629237817709257</v>
      </c>
      <c r="S145" t="n">
        <v>0.1261034730596451</v>
      </c>
      <c r="T145" t="n">
        <v>-0.04672920148002274</v>
      </c>
      <c r="U145" t="n">
        <v>-0.261756385563882</v>
      </c>
      <c r="V145">
        <f>T145-R145</f>
        <v/>
      </c>
      <c r="W145">
        <f>T145-Settings!$B$5</f>
        <v/>
      </c>
      <c r="X145">
        <f>0.5*(R145+W145)</f>
        <v/>
      </c>
      <c r="Y145">
        <f>AVERAGE(L126:L145)</f>
        <v/>
      </c>
      <c r="Z145">
        <f>AVERAGE(M126:M145)</f>
        <v/>
      </c>
      <c r="AA145">
        <f>AVERAGE(R126:R145)</f>
        <v/>
      </c>
      <c r="AB145">
        <f>AVERAGE(W126:W145)</f>
        <v/>
      </c>
      <c r="AC145">
        <f>AVERAGE(X126:X145)</f>
        <v/>
      </c>
      <c r="AD145">
        <f>0.5*Y145+0.5*AA145</f>
        <v/>
      </c>
      <c r="AE145">
        <f>Settings!$B$3+Settings!$B$4*Z145</f>
        <v/>
      </c>
      <c r="AF145">
        <f>AC145</f>
        <v/>
      </c>
      <c r="AG145">
        <f>0.5*Y145+0.5*AC145</f>
        <v/>
      </c>
      <c r="AH145">
        <f>(AA145+AB145+Y145)/3</f>
        <v/>
      </c>
      <c r="AI145">
        <f>0.7*AA145+0.3*Y145</f>
        <v/>
      </c>
    </row>
    <row r="146">
      <c r="A146" t="inlineStr">
        <is>
          <t>2021-01-01</t>
        </is>
      </c>
      <c r="B146" t="n">
        <v>870427.7168303883</v>
      </c>
      <c r="C146" t="n">
        <v>479852.2958613886</v>
      </c>
      <c r="D146" t="n">
        <v>66.88183016931174</v>
      </c>
      <c r="E146" t="n">
        <v>0.5020631446289181</v>
      </c>
      <c r="F146" t="n">
        <v>-0.1094961920511128</v>
      </c>
      <c r="G146" t="n">
        <v>0.06515244810981261</v>
      </c>
      <c r="H146" t="n">
        <v>0.486942734329878</v>
      </c>
      <c r="I146" t="n">
        <v>83.38780519449114</v>
      </c>
      <c r="J146" t="n">
        <v>1367.673999836172</v>
      </c>
      <c r="K146" t="n">
        <v>865.7731540590197</v>
      </c>
      <c r="L146" t="n">
        <v>0.3032175189528061</v>
      </c>
      <c r="M146" t="n">
        <v>-0.6898285596107598</v>
      </c>
      <c r="N146" t="n">
        <v>0.5020631446289181</v>
      </c>
      <c r="O146" t="n">
        <v>0.5020631446289181</v>
      </c>
      <c r="P146" t="n">
        <v>0.4061654642970834</v>
      </c>
      <c r="Q146" t="n">
        <v>0.5069783609106872</v>
      </c>
      <c r="R146" t="n">
        <v>-0.5156616563481963</v>
      </c>
      <c r="S146" t="n">
        <v>0.08077727003279456</v>
      </c>
      <c r="T146" t="n">
        <v>-0.02003562658080915</v>
      </c>
      <c r="U146" t="n">
        <v>-0.3410130161872709</v>
      </c>
      <c r="V146">
        <f>T146-R146</f>
        <v/>
      </c>
      <c r="W146">
        <f>T146-Settings!$B$5</f>
        <v/>
      </c>
      <c r="X146">
        <f>0.5*(R146+W146)</f>
        <v/>
      </c>
      <c r="Y146">
        <f>AVERAGE(L127:L146)</f>
        <v/>
      </c>
      <c r="Z146">
        <f>AVERAGE(M127:M146)</f>
        <v/>
      </c>
      <c r="AA146">
        <f>AVERAGE(R127:R146)</f>
        <v/>
      </c>
      <c r="AB146">
        <f>AVERAGE(W127:W146)</f>
        <v/>
      </c>
      <c r="AC146">
        <f>AVERAGE(X127:X146)</f>
        <v/>
      </c>
      <c r="AD146">
        <f>0.5*Y146+0.5*AA146</f>
        <v/>
      </c>
      <c r="AE146">
        <f>Settings!$B$3+Settings!$B$4*Z146</f>
        <v/>
      </c>
      <c r="AF146">
        <f>AC146</f>
        <v/>
      </c>
      <c r="AG146">
        <f>0.5*Y146+0.5*AC146</f>
        <v/>
      </c>
      <c r="AH146">
        <f>(AA146+AB146+Y146)/3</f>
        <v/>
      </c>
      <c r="AI146">
        <f>0.7*AA146+0.3*Y146</f>
        <v/>
      </c>
    </row>
    <row r="147">
      <c r="A147" t="inlineStr">
        <is>
          <t>2021-04-01</t>
        </is>
      </c>
      <c r="B147" t="n">
        <v>871470.4241902297</v>
      </c>
      <c r="C147" t="n">
        <v>482641.5151278681</v>
      </c>
      <c r="D147" t="n">
        <v>66.99153898502246</v>
      </c>
      <c r="E147" t="n">
        <v>0.5881194020606938</v>
      </c>
      <c r="F147" t="n">
        <v>-0.1556694020960924</v>
      </c>
      <c r="G147" t="n">
        <v>0.0118196330831657</v>
      </c>
      <c r="H147" t="n">
        <v>0.307856432683751</v>
      </c>
      <c r="I147" t="n">
        <v>83.2701274521195</v>
      </c>
      <c r="J147" t="n">
        <v>1367.793720669421</v>
      </c>
      <c r="K147" t="n">
        <v>866.4939581524992</v>
      </c>
      <c r="L147" t="n">
        <v>0.4788833329939735</v>
      </c>
      <c r="M147" t="n">
        <v>2.883216373918003</v>
      </c>
      <c r="N147" t="n">
        <v>0.5881194020606938</v>
      </c>
      <c r="O147" t="n">
        <v>0.5881194020606938</v>
      </c>
      <c r="P147" t="n">
        <v>0.4946714055120114</v>
      </c>
      <c r="Q147" t="n">
        <v>0.4904632130648857</v>
      </c>
      <c r="R147" t="n">
        <v>-0.6503408076081038</v>
      </c>
      <c r="S147" t="n">
        <v>-0.1868149728282604</v>
      </c>
      <c r="T147" t="n">
        <v>-0.1826067803811346</v>
      </c>
      <c r="U147" t="n">
        <v>-0.4828517724288457</v>
      </c>
      <c r="V147">
        <f>T147-R147</f>
        <v/>
      </c>
      <c r="W147">
        <f>T147-Settings!$B$5</f>
        <v/>
      </c>
      <c r="X147">
        <f>0.5*(R147+W147)</f>
        <v/>
      </c>
      <c r="Y147">
        <f>AVERAGE(L128:L147)</f>
        <v/>
      </c>
      <c r="Z147">
        <f>AVERAGE(M128:M147)</f>
        <v/>
      </c>
      <c r="AA147">
        <f>AVERAGE(R128:R147)</f>
        <v/>
      </c>
      <c r="AB147">
        <f>AVERAGE(W128:W147)</f>
        <v/>
      </c>
      <c r="AC147">
        <f>AVERAGE(X128:X147)</f>
        <v/>
      </c>
      <c r="AD147">
        <f>0.5*Y147+0.5*AA147</f>
        <v/>
      </c>
      <c r="AE147">
        <f>Settings!$B$3+Settings!$B$4*Z147</f>
        <v/>
      </c>
      <c r="AF147">
        <f>AC147</f>
        <v/>
      </c>
      <c r="AG147">
        <f>0.5*Y147+0.5*AC147</f>
        <v/>
      </c>
      <c r="AH147">
        <f>(AA147+AB147+Y147)/3</f>
        <v/>
      </c>
      <c r="AI147">
        <f>0.7*AA147+0.3*Y147</f>
        <v/>
      </c>
    </row>
    <row r="148">
      <c r="A148" t="inlineStr">
        <is>
          <t>2021-07-01</t>
        </is>
      </c>
      <c r="B148" t="n">
        <v>871367.3927204109</v>
      </c>
      <c r="C148" t="n">
        <v>481514.4977637589</v>
      </c>
      <c r="D148" t="n">
        <v>67.12326505057227</v>
      </c>
      <c r="E148" t="n">
        <v>0.6084791019000265</v>
      </c>
      <c r="F148" t="n">
        <v>-0.07102194287617609</v>
      </c>
      <c r="G148" t="n">
        <v>0.1393162042663346</v>
      </c>
      <c r="H148" t="n">
        <v>0.5033948499897415</v>
      </c>
      <c r="I148" t="n">
        <v>83.30528963240101</v>
      </c>
      <c r="J148" t="n">
        <v>1367.78189725488</v>
      </c>
      <c r="K148" t="n">
        <v>866.2179571203185</v>
      </c>
      <c r="L148" t="n">
        <v>-0.04729365816456266</v>
      </c>
      <c r="M148" t="n">
        <v>-1.104004128722863</v>
      </c>
      <c r="N148" t="n">
        <v>0.6084791019000265</v>
      </c>
      <c r="O148" t="n">
        <v>0.6084791019000265</v>
      </c>
      <c r="P148" t="n">
        <v>0.5762503959536528</v>
      </c>
      <c r="Q148" t="n">
        <v>0.4742141052160401</v>
      </c>
      <c r="R148" t="n">
        <v>-0.6472723388298289</v>
      </c>
      <c r="S148" t="n">
        <v>-0.07285554596391131</v>
      </c>
      <c r="T148" t="n">
        <v>0.02918074477370136</v>
      </c>
      <c r="U148" t="n">
        <v>-0.4369341916873182</v>
      </c>
      <c r="V148">
        <f>T148-R148</f>
        <v/>
      </c>
      <c r="W148">
        <f>T148-Settings!$B$5</f>
        <v/>
      </c>
      <c r="X148">
        <f>0.5*(R148+W148)</f>
        <v/>
      </c>
      <c r="Y148">
        <f>AVERAGE(L129:L148)</f>
        <v/>
      </c>
      <c r="Z148">
        <f>AVERAGE(M129:M148)</f>
        <v/>
      </c>
      <c r="AA148">
        <f>AVERAGE(R129:R148)</f>
        <v/>
      </c>
      <c r="AB148">
        <f>AVERAGE(W129:W148)</f>
        <v/>
      </c>
      <c r="AC148">
        <f>AVERAGE(X129:X148)</f>
        <v/>
      </c>
      <c r="AD148">
        <f>0.5*Y148+0.5*AA148</f>
        <v/>
      </c>
      <c r="AE148">
        <f>Settings!$B$3+Settings!$B$4*Z148</f>
        <v/>
      </c>
      <c r="AF148">
        <f>AC148</f>
        <v/>
      </c>
      <c r="AG148">
        <f>0.5*Y148+0.5*AC148</f>
        <v/>
      </c>
      <c r="AH148">
        <f>(AA148+AB148+Y148)/3</f>
        <v/>
      </c>
      <c r="AI148">
        <f>0.7*AA148+0.3*Y148</f>
        <v/>
      </c>
    </row>
    <row r="149">
      <c r="A149" t="inlineStr">
        <is>
          <t>2021-10-01</t>
        </is>
      </c>
      <c r="B149" t="n">
        <v>871912.9123087308</v>
      </c>
      <c r="C149" t="n">
        <v>480395.1016120595</v>
      </c>
      <c r="D149" t="n">
        <v>67.20692293477724</v>
      </c>
      <c r="E149" t="n">
        <v>0.6135655833349997</v>
      </c>
      <c r="F149" t="n">
        <v>-0.0737746312356956</v>
      </c>
      <c r="G149" t="n">
        <v>0.1376037697952592</v>
      </c>
      <c r="H149" t="n">
        <v>0.4520061593645605</v>
      </c>
      <c r="I149" t="n">
        <v>83.31184632877718</v>
      </c>
      <c r="J149" t="n">
        <v>1367.844482669807</v>
      </c>
      <c r="K149" t="n">
        <v>865.9773420766201</v>
      </c>
      <c r="L149" t="n">
        <v>0.2503416597101022</v>
      </c>
      <c r="M149" t="n">
        <v>-0.9624601747937049</v>
      </c>
      <c r="N149" t="n">
        <v>0.6135655833349997</v>
      </c>
      <c r="O149" t="n">
        <v>0.6135655833349997</v>
      </c>
      <c r="P149" t="n">
        <v>0.5780568079811597</v>
      </c>
      <c r="Q149" t="n">
        <v>0.458926516316678</v>
      </c>
      <c r="R149" t="n">
        <v>-0.6518314392168553</v>
      </c>
      <c r="S149" t="n">
        <v>-0.1260506486165991</v>
      </c>
      <c r="T149" t="n">
        <v>-0.006920356952117457</v>
      </c>
      <c r="U149" t="n">
        <v>-0.4404530381859004</v>
      </c>
      <c r="V149">
        <f>T149-R149</f>
        <v/>
      </c>
      <c r="W149">
        <f>T149-Settings!$B$5</f>
        <v/>
      </c>
      <c r="X149">
        <f>0.5*(R149+W149)</f>
        <v/>
      </c>
      <c r="Y149">
        <f>AVERAGE(L130:L149)</f>
        <v/>
      </c>
      <c r="Z149">
        <f>AVERAGE(M130:M149)</f>
        <v/>
      </c>
      <c r="AA149">
        <f>AVERAGE(R130:R149)</f>
        <v/>
      </c>
      <c r="AB149">
        <f>AVERAGE(W130:W149)</f>
        <v/>
      </c>
      <c r="AC149">
        <f>AVERAGE(X130:X149)</f>
        <v/>
      </c>
      <c r="AD149">
        <f>0.5*Y149+0.5*AA149</f>
        <v/>
      </c>
      <c r="AE149">
        <f>Settings!$B$3+Settings!$B$4*Z149</f>
        <v/>
      </c>
      <c r="AF149">
        <f>AC149</f>
        <v/>
      </c>
      <c r="AG149">
        <f>0.5*Y149+0.5*AC149</f>
        <v/>
      </c>
      <c r="AH149">
        <f>(AA149+AB149+Y149)/3</f>
        <v/>
      </c>
      <c r="AI149">
        <f>0.7*AA149+0.3*Y149</f>
        <v/>
      </c>
    </row>
    <row r="150">
      <c r="A150" t="inlineStr">
        <is>
          <t>2022-01-01</t>
        </is>
      </c>
      <c r="B150" t="n">
        <v>875107.0241569612</v>
      </c>
      <c r="C150" t="n">
        <v>484678.0856078926</v>
      </c>
      <c r="D150" t="n">
        <v>67.69918562920903</v>
      </c>
      <c r="E150" t="n">
        <v>1.214681736143084</v>
      </c>
      <c r="F150" t="n">
        <v>-0.1747202809909653</v>
      </c>
      <c r="G150" t="n">
        <v>0.0638996523571866</v>
      </c>
      <c r="H150" t="n">
        <v>0.5177154947277781</v>
      </c>
      <c r="I150" t="n">
        <v>83.26570736619117</v>
      </c>
      <c r="J150" t="n">
        <v>1368.210147118233</v>
      </c>
      <c r="K150" t="n">
        <v>866.9203420396741</v>
      </c>
      <c r="L150" t="n">
        <v>1.46265779370151</v>
      </c>
      <c r="M150" t="n">
        <v>3.77199985221614</v>
      </c>
      <c r="N150" t="n">
        <v>1.214681736143084</v>
      </c>
      <c r="O150" t="n">
        <v>1.214681736143084</v>
      </c>
      <c r="P150" t="n">
        <v>0.756211455859701</v>
      </c>
      <c r="Q150" t="n">
        <v>0.4769751315676947</v>
      </c>
      <c r="R150" t="n">
        <v>-0.9309317368506662</v>
      </c>
      <c r="S150" t="n">
        <v>-0.2384959611319228</v>
      </c>
      <c r="T150" t="n">
        <v>0.04074036316008339</v>
      </c>
      <c r="U150" t="n">
        <v>-0.6923118035025143</v>
      </c>
      <c r="V150">
        <f>T150-R150</f>
        <v/>
      </c>
      <c r="W150">
        <f>T150-Settings!$B$5</f>
        <v/>
      </c>
      <c r="X150">
        <f>0.5*(R150+W150)</f>
        <v/>
      </c>
      <c r="Y150">
        <f>AVERAGE(L131:L150)</f>
        <v/>
      </c>
      <c r="Z150">
        <f>AVERAGE(M131:M150)</f>
        <v/>
      </c>
      <c r="AA150">
        <f>AVERAGE(R131:R150)</f>
        <v/>
      </c>
      <c r="AB150">
        <f>AVERAGE(W131:W150)</f>
        <v/>
      </c>
      <c r="AC150">
        <f>AVERAGE(X131:X150)</f>
        <v/>
      </c>
      <c r="AD150">
        <f>0.5*Y150+0.5*AA150</f>
        <v/>
      </c>
      <c r="AE150">
        <f>Settings!$B$3+Settings!$B$4*Z150</f>
        <v/>
      </c>
      <c r="AF150">
        <f>AC150</f>
        <v/>
      </c>
      <c r="AG150">
        <f>0.5*Y150+0.5*AC150</f>
        <v/>
      </c>
      <c r="AH150">
        <f>(AA150+AB150+Y150)/3</f>
        <v/>
      </c>
      <c r="AI150">
        <f>0.7*AA150+0.3*Y150</f>
        <v/>
      </c>
    </row>
    <row r="151">
      <c r="A151" t="inlineStr">
        <is>
          <t>2022-04-01</t>
        </is>
      </c>
      <c r="B151" t="n">
        <v>875494.3168197226</v>
      </c>
      <c r="C151" t="n">
        <v>482368.156291761</v>
      </c>
      <c r="D151" t="n">
        <v>68.08232924730312</v>
      </c>
      <c r="E151" t="n">
        <v>1.61513694547625</v>
      </c>
      <c r="F151" t="n">
        <v>-0.06504016341525561</v>
      </c>
      <c r="G151" t="n">
        <v>0.1679592260950069</v>
      </c>
      <c r="H151" t="n">
        <v>0.5384210240032699</v>
      </c>
      <c r="I151" t="n">
        <v>83.3440853796689</v>
      </c>
      <c r="J151" t="n">
        <v>1368.254393933315</v>
      </c>
      <c r="K151" t="n">
        <v>866.3485265785267</v>
      </c>
      <c r="L151" t="n">
        <v>0.1769872603272233</v>
      </c>
      <c r="M151" t="n">
        <v>-2.287261844589466</v>
      </c>
      <c r="N151" t="n">
        <v>1.61513694547625</v>
      </c>
      <c r="O151" t="n">
        <v>1.61513694547625</v>
      </c>
      <c r="P151" t="n">
        <v>1.01296584171359</v>
      </c>
      <c r="Q151" t="n">
        <v>0.5260064131421989</v>
      </c>
      <c r="R151" t="n">
        <v>-1.078006005128846</v>
      </c>
      <c r="S151" t="n">
        <v>-0.4745448177103202</v>
      </c>
      <c r="T151" t="n">
        <v>0.01241461086107098</v>
      </c>
      <c r="U151" t="n">
        <v>-0.8450066156185831</v>
      </c>
      <c r="V151">
        <f>T151-R151</f>
        <v/>
      </c>
      <c r="W151">
        <f>T151-Settings!$B$5</f>
        <v/>
      </c>
      <c r="X151">
        <f>0.5*(R151+W151)</f>
        <v/>
      </c>
      <c r="Y151">
        <f>AVERAGE(L132:L151)</f>
        <v/>
      </c>
      <c r="Z151">
        <f>AVERAGE(M132:M151)</f>
        <v/>
      </c>
      <c r="AA151">
        <f>AVERAGE(R132:R151)</f>
        <v/>
      </c>
      <c r="AB151">
        <f>AVERAGE(W132:W151)</f>
        <v/>
      </c>
      <c r="AC151">
        <f>AVERAGE(X132:X151)</f>
        <v/>
      </c>
      <c r="AD151">
        <f>0.5*Y151+0.5*AA151</f>
        <v/>
      </c>
      <c r="AE151">
        <f>Settings!$B$3+Settings!$B$4*Z151</f>
        <v/>
      </c>
      <c r="AF151">
        <f>AC151</f>
        <v/>
      </c>
      <c r="AG151">
        <f>0.5*Y151+0.5*AC151</f>
        <v/>
      </c>
      <c r="AH151">
        <f>(AA151+AB151+Y151)/3</f>
        <v/>
      </c>
      <c r="AI151">
        <f>0.7*AA151+0.3*Y151</f>
        <v/>
      </c>
    </row>
    <row r="152">
      <c r="A152" t="inlineStr">
        <is>
          <t>2022-07-01</t>
        </is>
      </c>
      <c r="B152" t="n">
        <v>874731.3038468952</v>
      </c>
      <c r="C152" t="n">
        <v>482698.2464341064</v>
      </c>
      <c r="D152" t="n">
        <v>68.52663154303993</v>
      </c>
      <c r="E152" t="n">
        <v>2.069174541380265</v>
      </c>
      <c r="F152" t="n">
        <v>0.0026342490972945</v>
      </c>
      <c r="G152" t="n">
        <v>0.1986673894013594</v>
      </c>
      <c r="H152" t="n">
        <v>0.5743546741825376</v>
      </c>
      <c r="I152" t="n">
        <v>83.2417531112302</v>
      </c>
      <c r="J152" t="n">
        <v>1368.167203686279</v>
      </c>
      <c r="K152" t="n">
        <v>866.539792658771</v>
      </c>
      <c r="L152" t="n">
        <v>-0.3487609881403841</v>
      </c>
      <c r="M152" t="n">
        <v>0.765064320977217</v>
      </c>
      <c r="N152" t="n">
        <v>2.069174541380265</v>
      </c>
      <c r="O152" t="n">
        <v>2.069174541380265</v>
      </c>
      <c r="P152" t="n">
        <v>1.37813970158365</v>
      </c>
      <c r="Q152" t="n">
        <v>0.5967507398713333</v>
      </c>
      <c r="R152" t="n">
        <v>-1.375505452486355</v>
      </c>
      <c r="S152" t="n">
        <v>-0.8037850274011122</v>
      </c>
      <c r="T152" t="n">
        <v>-0.02239606568879571</v>
      </c>
      <c r="U152" t="n">
        <v>-1.179472312182291</v>
      </c>
      <c r="V152">
        <f>T152-R152</f>
        <v/>
      </c>
      <c r="W152">
        <f>T152-Settings!$B$5</f>
        <v/>
      </c>
      <c r="X152">
        <f>0.5*(R152+W152)</f>
        <v/>
      </c>
      <c r="Y152">
        <f>AVERAGE(L133:L152)</f>
        <v/>
      </c>
      <c r="Z152">
        <f>AVERAGE(M133:M152)</f>
        <v/>
      </c>
      <c r="AA152">
        <f>AVERAGE(R133:R152)</f>
        <v/>
      </c>
      <c r="AB152">
        <f>AVERAGE(W133:W152)</f>
        <v/>
      </c>
      <c r="AC152">
        <f>AVERAGE(X133:X152)</f>
        <v/>
      </c>
      <c r="AD152">
        <f>0.5*Y152+0.5*AA152</f>
        <v/>
      </c>
      <c r="AE152">
        <f>Settings!$B$3+Settings!$B$4*Z152</f>
        <v/>
      </c>
      <c r="AF152">
        <f>AC152</f>
        <v/>
      </c>
      <c r="AG152">
        <f>0.5*Y152+0.5*AC152</f>
        <v/>
      </c>
      <c r="AH152">
        <f>(AA152+AB152+Y152)/3</f>
        <v/>
      </c>
      <c r="AI152">
        <f>0.7*AA152+0.3*Y152</f>
        <v/>
      </c>
    </row>
    <row r="153">
      <c r="A153" t="inlineStr">
        <is>
          <t>2022-10-01</t>
        </is>
      </c>
      <c r="B153" t="n">
        <v>871468.6167845165</v>
      </c>
      <c r="C153" t="n">
        <v>478739.4813426512</v>
      </c>
      <c r="D153" t="n">
        <v>69.10801439829433</v>
      </c>
      <c r="E153" t="n">
        <v>2.789444457166254</v>
      </c>
      <c r="F153" t="n">
        <v>-0.09140198337814701</v>
      </c>
      <c r="G153" t="n">
        <v>0.0712718402560269</v>
      </c>
      <c r="H153" t="n">
        <v>0.4979798235595953</v>
      </c>
      <c r="I153" t="n">
        <v>83.28942221246591</v>
      </c>
      <c r="J153" t="n">
        <v>1367.793513271954</v>
      </c>
      <c r="K153" t="n">
        <v>865.6590291284271</v>
      </c>
      <c r="L153" t="n">
        <v>-1.494761657302661</v>
      </c>
      <c r="M153" t="n">
        <v>-3.523054121375935</v>
      </c>
      <c r="N153" t="n">
        <v>2.789444457166254</v>
      </c>
      <c r="O153" t="n">
        <v>2.789444457166254</v>
      </c>
      <c r="P153" t="n">
        <v>1.922109420041463</v>
      </c>
      <c r="Q153" t="n">
        <v>0.7042062627945331</v>
      </c>
      <c r="R153" t="n">
        <v>-2.01351140341961</v>
      </c>
      <c r="S153" t="n">
        <v>-1.424129596481868</v>
      </c>
      <c r="T153" t="n">
        <v>-0.2062264392349378</v>
      </c>
      <c r="U153" t="n">
        <v>-1.850837579785436</v>
      </c>
      <c r="V153">
        <f>T153-R153</f>
        <v/>
      </c>
      <c r="W153">
        <f>T153-Settings!$B$5</f>
        <v/>
      </c>
      <c r="X153">
        <f>0.5*(R153+W153)</f>
        <v/>
      </c>
      <c r="Y153">
        <f>AVERAGE(L134:L153)</f>
        <v/>
      </c>
      <c r="Z153">
        <f>AVERAGE(M134:M153)</f>
        <v/>
      </c>
      <c r="AA153">
        <f>AVERAGE(R134:R153)</f>
        <v/>
      </c>
      <c r="AB153">
        <f>AVERAGE(W134:W153)</f>
        <v/>
      </c>
      <c r="AC153">
        <f>AVERAGE(X134:X153)</f>
        <v/>
      </c>
      <c r="AD153">
        <f>0.5*Y153+0.5*AA153</f>
        <v/>
      </c>
      <c r="AE153">
        <f>Settings!$B$3+Settings!$B$4*Z153</f>
        <v/>
      </c>
      <c r="AF153">
        <f>AC153</f>
        <v/>
      </c>
      <c r="AG153">
        <f>0.5*Y153+0.5*AC153</f>
        <v/>
      </c>
      <c r="AH153">
        <f>(AA153+AB153+Y153)/3</f>
        <v/>
      </c>
      <c r="AI153">
        <f>0.7*AA153+0.3*Y153</f>
        <v/>
      </c>
    </row>
    <row r="154">
      <c r="A154" t="inlineStr">
        <is>
          <t>2023-01-01</t>
        </is>
      </c>
      <c r="B154" t="n">
        <v>866475.202403712</v>
      </c>
      <c r="C154" t="n">
        <v>476688.2308649516</v>
      </c>
      <c r="D154" t="n">
        <v>69.5703183898344</v>
      </c>
      <c r="E154" t="n">
        <v>2.726386572908073</v>
      </c>
      <c r="F154" t="n">
        <v>-0.1168662581034253</v>
      </c>
      <c r="G154" t="n">
        <v>0.0735605439862477</v>
      </c>
      <c r="H154" t="n">
        <v>0.5054459437371913</v>
      </c>
      <c r="I154" t="n">
        <v>83.20308523170252</v>
      </c>
      <c r="J154" t="n">
        <v>1367.218876961371</v>
      </c>
      <c r="K154" t="n">
        <v>865.3333522870076</v>
      </c>
      <c r="L154" t="n">
        <v>-2.298545242332693</v>
      </c>
      <c r="M154" t="n">
        <v>-1.302707365677634</v>
      </c>
      <c r="N154" t="n">
        <v>2.726386572908073</v>
      </c>
      <c r="O154" t="n">
        <v>2.726386572908073</v>
      </c>
      <c r="P154" t="n">
        <v>2.300035629232711</v>
      </c>
      <c r="Q154" t="n">
        <v>0.811367636302357</v>
      </c>
      <c r="R154" t="n">
        <v>-2.416901887336136</v>
      </c>
      <c r="S154" t="n">
        <v>-1.794589685495519</v>
      </c>
      <c r="T154" t="n">
        <v>-0.3059216925651657</v>
      </c>
      <c r="U154" t="n">
        <v>-2.226475085246463</v>
      </c>
      <c r="V154">
        <f>T154-R154</f>
        <v/>
      </c>
      <c r="W154">
        <f>T154-Settings!$B$5</f>
        <v/>
      </c>
      <c r="X154">
        <f>0.5*(R154+W154)</f>
        <v/>
      </c>
      <c r="Y154">
        <f>AVERAGE(L135:L154)</f>
        <v/>
      </c>
      <c r="Z154">
        <f>AVERAGE(M135:M154)</f>
        <v/>
      </c>
      <c r="AA154">
        <f>AVERAGE(R135:R154)</f>
        <v/>
      </c>
      <c r="AB154">
        <f>AVERAGE(W135:W154)</f>
        <v/>
      </c>
      <c r="AC154">
        <f>AVERAGE(X135:X154)</f>
        <v/>
      </c>
      <c r="AD154">
        <f>0.5*Y154+0.5*AA154</f>
        <v/>
      </c>
      <c r="AE154">
        <f>Settings!$B$3+Settings!$B$4*Z154</f>
        <v/>
      </c>
      <c r="AF154">
        <f>AC154</f>
        <v/>
      </c>
      <c r="AG154">
        <f>0.5*Y154+0.5*AC154</f>
        <v/>
      </c>
      <c r="AH154">
        <f>(AA154+AB154+Y154)/3</f>
        <v/>
      </c>
      <c r="AI154">
        <f>0.7*AA154+0.3*Y154</f>
        <v/>
      </c>
    </row>
    <row r="155">
      <c r="A155" t="inlineStr">
        <is>
          <t>2023-04-01</t>
        </is>
      </c>
      <c r="B155" t="n">
        <v>864632.2060576634</v>
      </c>
      <c r="C155" t="n">
        <v>474222.9288458301</v>
      </c>
      <c r="D155" t="n">
        <v>70.09930834800296</v>
      </c>
      <c r="E155" t="n">
        <v>2.919523027864217</v>
      </c>
      <c r="F155" t="n">
        <v>-0.107100160720376</v>
      </c>
      <c r="G155" t="n">
        <v>0.09941677512393959</v>
      </c>
      <c r="H155" t="n">
        <v>0.5545812592486019</v>
      </c>
      <c r="I155" t="n">
        <v>83.17686139182108</v>
      </c>
      <c r="J155" t="n">
        <v>1367.00595001838</v>
      </c>
      <c r="K155" t="n">
        <v>864.8463603258474</v>
      </c>
      <c r="L155" t="n">
        <v>-0.8517077719625377</v>
      </c>
      <c r="M155" t="n">
        <v>-1.947967844640971</v>
      </c>
      <c r="N155" t="n">
        <v>2.919523027864217</v>
      </c>
      <c r="O155" t="n">
        <v>2.919523027864217</v>
      </c>
      <c r="P155" t="n">
        <v>2.626132149829703</v>
      </c>
      <c r="Q155" t="n">
        <v>0.9281397367074208</v>
      </c>
      <c r="R155" t="n">
        <v>-2.733232310550079</v>
      </c>
      <c r="S155" t="n">
        <v>-2.071550890581101</v>
      </c>
      <c r="T155" t="n">
        <v>-0.3735584774588189</v>
      </c>
      <c r="U155" t="n">
        <v>-2.526715374705763</v>
      </c>
      <c r="V155">
        <f>T155-R155</f>
        <v/>
      </c>
      <c r="W155">
        <f>T155-Settings!$B$5</f>
        <v/>
      </c>
      <c r="X155">
        <f>0.5*(R155+W155)</f>
        <v/>
      </c>
      <c r="Y155">
        <f>AVERAGE(L136:L155)</f>
        <v/>
      </c>
      <c r="Z155">
        <f>AVERAGE(M136:M155)</f>
        <v/>
      </c>
      <c r="AA155">
        <f>AVERAGE(R136:R155)</f>
        <v/>
      </c>
      <c r="AB155">
        <f>AVERAGE(W136:W155)</f>
        <v/>
      </c>
      <c r="AC155">
        <f>AVERAGE(X136:X155)</f>
        <v/>
      </c>
      <c r="AD155">
        <f>0.5*Y155+0.5*AA155</f>
        <v/>
      </c>
      <c r="AE155">
        <f>Settings!$B$3+Settings!$B$4*Z155</f>
        <v/>
      </c>
      <c r="AF155">
        <f>AC155</f>
        <v/>
      </c>
      <c r="AG155">
        <f>0.5*Y155+0.5*AC155</f>
        <v/>
      </c>
      <c r="AH155">
        <f>(AA155+AB155+Y155)/3</f>
        <v/>
      </c>
      <c r="AI155">
        <f>0.7*AA155+0.3*Y155</f>
        <v/>
      </c>
    </row>
    <row r="156">
      <c r="A156" t="inlineStr">
        <is>
          <t>2023-07-01</t>
        </is>
      </c>
      <c r="B156" t="n">
        <v>864080.6114461879</v>
      </c>
      <c r="C156" t="n">
        <v>477129.2410179644</v>
      </c>
      <c r="D156" t="n">
        <v>70.56128108342105</v>
      </c>
      <c r="E156" t="n">
        <v>2.925911611550037</v>
      </c>
      <c r="F156" t="n">
        <v>-0.0692371616515719</v>
      </c>
      <c r="G156" t="n">
        <v>0.1247003409867459</v>
      </c>
      <c r="H156" t="n">
        <v>0.4307916154814899</v>
      </c>
      <c r="I156" t="n">
        <v>83.14556017761439</v>
      </c>
      <c r="J156" t="n">
        <v>1366.942134371893</v>
      </c>
      <c r="K156" t="n">
        <v>865.4949869826706</v>
      </c>
      <c r="L156" t="n">
        <v>-0.2552625859470936</v>
      </c>
      <c r="M156" t="n">
        <v>2.594506627292958</v>
      </c>
      <c r="N156" t="n">
        <v>2.925911611550037</v>
      </c>
      <c r="O156" t="n">
        <v>2.925911611550037</v>
      </c>
      <c r="P156" t="n">
        <v>2.840316417372145</v>
      </c>
      <c r="Q156" t="n">
        <v>1.052441158294003</v>
      </c>
      <c r="R156" t="n">
        <v>-2.909553579023717</v>
      </c>
      <c r="S156" t="n">
        <v>-2.409524801890655</v>
      </c>
      <c r="T156" t="n">
        <v>-0.6216495428125128</v>
      </c>
      <c r="U156" t="n">
        <v>-2.7156160763854</v>
      </c>
      <c r="V156">
        <f>T156-R156</f>
        <v/>
      </c>
      <c r="W156">
        <f>T156-Settings!$B$5</f>
        <v/>
      </c>
      <c r="X156">
        <f>0.5*(R156+W156)</f>
        <v/>
      </c>
      <c r="Y156">
        <f>AVERAGE(L137:L156)</f>
        <v/>
      </c>
      <c r="Z156">
        <f>AVERAGE(M137:M156)</f>
        <v/>
      </c>
      <c r="AA156">
        <f>AVERAGE(R137:R156)</f>
        <v/>
      </c>
      <c r="AB156">
        <f>AVERAGE(W137:W156)</f>
        <v/>
      </c>
      <c r="AC156">
        <f>AVERAGE(X137:X156)</f>
        <v/>
      </c>
      <c r="AD156">
        <f>0.5*Y156+0.5*AA156</f>
        <v/>
      </c>
      <c r="AE156">
        <f>Settings!$B$3+Settings!$B$4*Z156</f>
        <v/>
      </c>
      <c r="AF156">
        <f>AC156</f>
        <v/>
      </c>
      <c r="AG156">
        <f>0.5*Y156+0.5*AC156</f>
        <v/>
      </c>
      <c r="AH156">
        <f>(AA156+AB156+Y156)/3</f>
        <v/>
      </c>
      <c r="AI156">
        <f>0.7*AA156+0.3*Y156</f>
        <v/>
      </c>
    </row>
    <row r="157">
      <c r="A157" t="inlineStr">
        <is>
          <t>2023-10-01</t>
        </is>
      </c>
      <c r="B157" t="n">
        <v>868545.4775190315</v>
      </c>
      <c r="C157" t="n">
        <v>475453.8075941143</v>
      </c>
      <c r="D157" t="n">
        <v>71.05236570286758</v>
      </c>
      <c r="E157" t="n">
        <v>2.774644364205084</v>
      </c>
      <c r="F157" t="n">
        <v>-0.1865335802753609</v>
      </c>
      <c r="G157" t="n">
        <v>-0.0038704035176905</v>
      </c>
      <c r="H157" t="n">
        <v>0.3093076564625118</v>
      </c>
      <c r="I157" t="n">
        <v>83.12518981258107</v>
      </c>
      <c r="J157" t="n">
        <v>1367.457522658431</v>
      </c>
      <c r="K157" t="n">
        <v>865.1677228903193</v>
      </c>
      <c r="L157" t="n">
        <v>2.06155314614989</v>
      </c>
      <c r="M157" t="n">
        <v>-1.309056369405425</v>
      </c>
      <c r="N157" t="n">
        <v>2.774644364205084</v>
      </c>
      <c r="O157" t="n">
        <v>2.774644364205084</v>
      </c>
      <c r="P157" t="n">
        <v>2.836616394131853</v>
      </c>
      <c r="Q157" t="n">
        <v>1.176855919718477</v>
      </c>
      <c r="R157" t="n">
        <v>-3.023149974407214</v>
      </c>
      <c r="S157" t="n">
        <v>-2.527308737669341</v>
      </c>
      <c r="T157" t="n">
        <v>-0.8675482632559656</v>
      </c>
      <c r="U157" t="n">
        <v>-2.840486797649543</v>
      </c>
      <c r="V157">
        <f>T157-R157</f>
        <v/>
      </c>
      <c r="W157">
        <f>T157-Settings!$B$5</f>
        <v/>
      </c>
      <c r="X157">
        <f>0.5*(R157+W157)</f>
        <v/>
      </c>
      <c r="Y157">
        <f>AVERAGE(L138:L157)</f>
        <v/>
      </c>
      <c r="Z157">
        <f>AVERAGE(M138:M157)</f>
        <v/>
      </c>
      <c r="AA157">
        <f>AVERAGE(R138:R157)</f>
        <v/>
      </c>
      <c r="AB157">
        <f>AVERAGE(W138:W157)</f>
        <v/>
      </c>
      <c r="AC157">
        <f>AVERAGE(X138:X157)</f>
        <v/>
      </c>
      <c r="AD157">
        <f>0.5*Y157+0.5*AA157</f>
        <v/>
      </c>
      <c r="AE157">
        <f>Settings!$B$3+Settings!$B$4*Z157</f>
        <v/>
      </c>
      <c r="AF157">
        <f>AC157</f>
        <v/>
      </c>
      <c r="AG157">
        <f>0.5*Y157+0.5*AC157</f>
        <v/>
      </c>
      <c r="AH157">
        <f>(AA157+AB157+Y157)/3</f>
        <v/>
      </c>
      <c r="AI157">
        <f>0.7*AA157+0.3*Y157</f>
        <v/>
      </c>
    </row>
    <row r="158">
      <c r="A158" t="inlineStr">
        <is>
          <t>2024-01-01</t>
        </is>
      </c>
      <c r="B158" t="n">
        <v>869143.1241308209</v>
      </c>
      <c r="C158" t="n">
        <v>479527.0051454048</v>
      </c>
      <c r="D158" t="n">
        <v>71.51266471557101</v>
      </c>
      <c r="E158" t="n">
        <v>2.753654643928737</v>
      </c>
      <c r="F158" t="n">
        <v>0.2582195351488651</v>
      </c>
      <c r="G158" t="n">
        <v>0.465806079597962</v>
      </c>
      <c r="H158" t="n">
        <v>1.368687456689119</v>
      </c>
      <c r="I158" t="n">
        <v>83.18593975015249</v>
      </c>
      <c r="J158" t="n">
        <v>1367.526309049132</v>
      </c>
      <c r="K158" t="n">
        <v>865.9477150946792</v>
      </c>
      <c r="L158" t="n">
        <v>0.2751455628058466</v>
      </c>
      <c r="M158" t="n">
        <v>3.119968817439712</v>
      </c>
      <c r="N158" t="n">
        <v>2.753654643928737</v>
      </c>
      <c r="O158" t="n">
        <v>2.753654643928737</v>
      </c>
      <c r="P158" t="n">
        <v>2.843433411887019</v>
      </c>
      <c r="Q158" t="n">
        <v>1.305588541345811</v>
      </c>
      <c r="R158" t="n">
        <v>-2.585213876738154</v>
      </c>
      <c r="S158" t="n">
        <v>-1.4747459551979</v>
      </c>
      <c r="T158" t="n">
        <v>0.06309891534330703</v>
      </c>
      <c r="U158" t="n">
        <v>-2.377627332289057</v>
      </c>
      <c r="V158">
        <f>T158-R158</f>
        <v/>
      </c>
      <c r="W158">
        <f>T158-Settings!$B$5</f>
        <v/>
      </c>
      <c r="X158">
        <f>0.5*(R158+W158)</f>
        <v/>
      </c>
      <c r="Y158">
        <f>AVERAGE(L139:L158)</f>
        <v/>
      </c>
      <c r="Z158">
        <f>AVERAGE(M139:M158)</f>
        <v/>
      </c>
      <c r="AA158">
        <f>AVERAGE(R139:R158)</f>
        <v/>
      </c>
      <c r="AB158">
        <f>AVERAGE(W139:W158)</f>
        <v/>
      </c>
      <c r="AC158">
        <f>AVERAGE(X139:X158)</f>
        <v/>
      </c>
      <c r="AD158">
        <f>0.5*Y158+0.5*AA158</f>
        <v/>
      </c>
      <c r="AE158">
        <f>Settings!$B$3+Settings!$B$4*Z158</f>
        <v/>
      </c>
      <c r="AF158">
        <f>AC158</f>
        <v/>
      </c>
      <c r="AG158">
        <f>0.5*Y158+0.5*AC158</f>
        <v/>
      </c>
      <c r="AH158">
        <f>(AA158+AB158+Y158)/3</f>
        <v/>
      </c>
      <c r="AI158">
        <f>0.7*AA158+0.3*Y158</f>
        <v/>
      </c>
    </row>
    <row r="159">
      <c r="A159" t="inlineStr">
        <is>
          <t>2024-04-01</t>
        </is>
      </c>
      <c r="B159" t="n">
        <v>872447.2016696277</v>
      </c>
      <c r="C159" t="n">
        <v>479480.1678541374</v>
      </c>
      <c r="D159" t="n">
        <v>71.9698122807507</v>
      </c>
      <c r="E159" t="n">
        <v>2.633382987345958</v>
      </c>
      <c r="F159" t="n">
        <v>0.2679768025268594</v>
      </c>
      <c r="G159" t="n">
        <v>0.4528580702845411</v>
      </c>
      <c r="H159" t="n">
        <v>1.226743115306386</v>
      </c>
      <c r="I159" t="n">
        <v>82.95901946366244</v>
      </c>
      <c r="J159" t="n">
        <v>1367.905741738198</v>
      </c>
      <c r="K159" t="n">
        <v>866.2111067931825</v>
      </c>
      <c r="L159" t="n">
        <v>1.517730756264427</v>
      </c>
      <c r="M159" t="n">
        <v>1.053566794013022</v>
      </c>
      <c r="N159" t="n">
        <v>2.633382987345958</v>
      </c>
      <c r="O159" t="n">
        <v>2.633382987345958</v>
      </c>
      <c r="P159" t="n">
        <v>2.771898401757454</v>
      </c>
      <c r="Q159" t="n">
        <v>1.426902479440219</v>
      </c>
      <c r="R159" t="n">
        <v>-2.503921599230595</v>
      </c>
      <c r="S159" t="n">
        <v>-1.545155286451068</v>
      </c>
      <c r="T159" t="n">
        <v>-0.2001593641338324</v>
      </c>
      <c r="U159" t="n">
        <v>-2.319040331472913</v>
      </c>
      <c r="V159">
        <f>T159-R159</f>
        <v/>
      </c>
      <c r="W159">
        <f>T159-Settings!$B$5</f>
        <v/>
      </c>
      <c r="X159">
        <f>0.5*(R159+W159)</f>
        <v/>
      </c>
      <c r="Y159">
        <f>AVERAGE(L140:L159)</f>
        <v/>
      </c>
      <c r="Z159">
        <f>AVERAGE(M140:M159)</f>
        <v/>
      </c>
      <c r="AA159">
        <f>AVERAGE(R140:R159)</f>
        <v/>
      </c>
      <c r="AB159">
        <f>AVERAGE(W140:W159)</f>
        <v/>
      </c>
      <c r="AC159">
        <f>AVERAGE(X140:X159)</f>
        <v/>
      </c>
      <c r="AD159">
        <f>0.5*Y159+0.5*AA159</f>
        <v/>
      </c>
      <c r="AE159">
        <f>Settings!$B$3+Settings!$B$4*Z159</f>
        <v/>
      </c>
      <c r="AF159">
        <f>AC159</f>
        <v/>
      </c>
      <c r="AG159">
        <f>0.5*Y159+0.5*AC159</f>
        <v/>
      </c>
      <c r="AH159">
        <f>(AA159+AB159+Y159)/3</f>
        <v/>
      </c>
      <c r="AI159">
        <f>0.7*AA159+0.3*Y159</f>
        <v/>
      </c>
    </row>
    <row r="160">
      <c r="A160" t="inlineStr">
        <is>
          <t>2024-07-01</t>
        </is>
      </c>
      <c r="B160" t="n">
        <v>872427.6328139879</v>
      </c>
      <c r="C160" t="n">
        <v>482088.4945844715</v>
      </c>
      <c r="D160" t="n">
        <v>72.3968033230376</v>
      </c>
      <c r="E160" t="n">
        <v>2.568057794228561</v>
      </c>
      <c r="F160" t="n">
        <v>0.4173912506478023</v>
      </c>
      <c r="G160" t="n">
        <v>0.5985492681360411</v>
      </c>
      <c r="H160" t="n">
        <v>1.275707041388115</v>
      </c>
      <c r="I160" t="n">
        <v>82.94992271277806</v>
      </c>
      <c r="J160" t="n">
        <v>1367.903498728527</v>
      </c>
      <c r="K160" t="n">
        <v>866.7645890000138</v>
      </c>
      <c r="L160" t="n">
        <v>-0.008972038683168648</v>
      </c>
      <c r="M160" t="n">
        <v>2.213928827325162</v>
      </c>
      <c r="N160" t="n">
        <v>2.568057794228561</v>
      </c>
      <c r="O160" t="n">
        <v>2.568057794228561</v>
      </c>
      <c r="P160" t="n">
        <v>2.682434947427085</v>
      </c>
      <c r="Q160" t="n">
        <v>1.540088748228781</v>
      </c>
      <c r="R160" t="n">
        <v>-2.265043696779283</v>
      </c>
      <c r="S160" t="n">
        <v>-1.406727906038971</v>
      </c>
      <c r="T160" t="n">
        <v>-0.2643817068406658</v>
      </c>
      <c r="U160" t="n">
        <v>-2.083885679291044</v>
      </c>
      <c r="V160">
        <f>T160-R160</f>
        <v/>
      </c>
      <c r="W160">
        <f>T160-Settings!$B$5</f>
        <v/>
      </c>
      <c r="X160">
        <f>0.5*(R160+W160)</f>
        <v/>
      </c>
      <c r="Y160">
        <f>AVERAGE(L141:L160)</f>
        <v/>
      </c>
      <c r="Z160">
        <f>AVERAGE(M141:M160)</f>
        <v/>
      </c>
      <c r="AA160">
        <f>AVERAGE(R141:R160)</f>
        <v/>
      </c>
      <c r="AB160">
        <f>AVERAGE(W141:W160)</f>
        <v/>
      </c>
      <c r="AC160">
        <f>AVERAGE(X141:X160)</f>
        <v/>
      </c>
      <c r="AD160">
        <f>0.5*Y160+0.5*AA160</f>
        <v/>
      </c>
      <c r="AE160">
        <f>Settings!$B$3+Settings!$B$4*Z160</f>
        <v/>
      </c>
      <c r="AF160">
        <f>AC160</f>
        <v/>
      </c>
      <c r="AG160">
        <f>0.5*Y160+0.5*AC160</f>
        <v/>
      </c>
      <c r="AH160">
        <f>(AA160+AB160+Y160)/3</f>
        <v/>
      </c>
      <c r="AI160">
        <f>0.7*AA160+0.3*Y160</f>
        <v/>
      </c>
    </row>
    <row r="161">
      <c r="A161" t="inlineStr">
        <is>
          <t>2024-10-01</t>
        </is>
      </c>
      <c r="B161" t="n">
        <v>871211.738205887</v>
      </c>
      <c r="C161" t="n">
        <v>480607.7843562885</v>
      </c>
      <c r="D161" t="n">
        <v>72.89243573623634</v>
      </c>
      <c r="E161" t="n">
        <v>2.556772114000643</v>
      </c>
      <c r="F161" t="n">
        <v>0.3537913633097521</v>
      </c>
      <c r="G161" t="n">
        <v>0.5631349483388552</v>
      </c>
      <c r="H161" t="n">
        <v>1.398172634248062</v>
      </c>
      <c r="I161" t="n">
        <v>82.9978414584472</v>
      </c>
      <c r="J161" t="n">
        <v>1367.764032411651</v>
      </c>
      <c r="K161" t="n">
        <v>866.3992198382124</v>
      </c>
      <c r="L161" t="n">
        <v>-0.5578652675058038</v>
      </c>
      <c r="M161" t="n">
        <v>-1.461476647205473</v>
      </c>
      <c r="N161" t="n">
        <v>2.556772114000643</v>
      </c>
      <c r="O161" t="n">
        <v>2.556772114000643</v>
      </c>
      <c r="P161" t="n">
        <v>2.627966884875975</v>
      </c>
      <c r="Q161" t="n">
        <v>1.662672428261869</v>
      </c>
      <c r="R161" t="n">
        <v>-2.274175521566223</v>
      </c>
      <c r="S161" t="n">
        <v>-1.229794250627912</v>
      </c>
      <c r="T161" t="n">
        <v>-0.2644997940138061</v>
      </c>
      <c r="U161" t="n">
        <v>-2.06483193653712</v>
      </c>
      <c r="V161">
        <f>T161-R161</f>
        <v/>
      </c>
      <c r="W161">
        <f>T161-Settings!$B$5</f>
        <v/>
      </c>
      <c r="X161">
        <f>0.5*(R161+W161)</f>
        <v/>
      </c>
      <c r="Y161">
        <f>AVERAGE(L142:L161)</f>
        <v/>
      </c>
      <c r="Z161">
        <f>AVERAGE(M142:M161)</f>
        <v/>
      </c>
      <c r="AA161">
        <f>AVERAGE(R142:R161)</f>
        <v/>
      </c>
      <c r="AB161">
        <f>AVERAGE(W142:W161)</f>
        <v/>
      </c>
      <c r="AC161">
        <f>AVERAGE(X142:X161)</f>
        <v/>
      </c>
      <c r="AD161">
        <f>0.5*Y161+0.5*AA161</f>
        <v/>
      </c>
      <c r="AE161">
        <f>Settings!$B$3+Settings!$B$4*Z161</f>
        <v/>
      </c>
      <c r="AF161">
        <f>AC161</f>
        <v/>
      </c>
      <c r="AG161">
        <f>0.5*Y161+0.5*AC161</f>
        <v/>
      </c>
      <c r="AH161">
        <f>(AA161+AB161+Y161)/3</f>
        <v/>
      </c>
      <c r="AI161">
        <f>0.7*AA161+0.3*Y161</f>
        <v/>
      </c>
    </row>
    <row r="162">
      <c r="A162" t="inlineStr">
        <is>
          <t>2025-01-01</t>
        </is>
      </c>
      <c r="B162" t="n">
        <v>871192.4461544038</v>
      </c>
      <c r="C162" t="n">
        <v>482658.0755452601</v>
      </c>
      <c r="D162" t="n">
        <v>73.32093817763493</v>
      </c>
      <c r="E162" t="n">
        <v>2.497165564391162</v>
      </c>
      <c r="F162" t="n">
        <v>0.483394380555976</v>
      </c>
      <c r="G162" t="n">
        <v>0.6713346031520999</v>
      </c>
      <c r="H162" t="n">
        <v>1.529731361159245</v>
      </c>
      <c r="I162" t="n">
        <v>83.00072639409687</v>
      </c>
      <c r="J162" t="n">
        <v>1367.761817994163</v>
      </c>
      <c r="K162" t="n">
        <v>866.8214404322189</v>
      </c>
      <c r="L162" t="n">
        <v>-0.008857669951794378</v>
      </c>
      <c r="M162" t="n">
        <v>1.688882376025958</v>
      </c>
      <c r="N162" t="n">
        <v>2.497165564391162</v>
      </c>
      <c r="O162" t="n">
        <v>2.497165564391162</v>
      </c>
      <c r="P162" t="n">
        <v>2.563844614991581</v>
      </c>
      <c r="Q162" t="n">
        <v>1.773938115253619</v>
      </c>
      <c r="R162" t="n">
        <v>-2.080450234435605</v>
      </c>
      <c r="S162" t="n">
        <v>-1.034113253832336</v>
      </c>
      <c r="T162" t="n">
        <v>-0.244206754094374</v>
      </c>
      <c r="U162" t="n">
        <v>-1.892510011839481</v>
      </c>
      <c r="V162">
        <f>T162-R162</f>
        <v/>
      </c>
      <c r="W162">
        <f>T162-Settings!$B$5</f>
        <v/>
      </c>
      <c r="X162">
        <f>0.5*(R162+W162)</f>
        <v/>
      </c>
      <c r="Y162">
        <f>AVERAGE(L143:L162)</f>
        <v/>
      </c>
      <c r="Z162">
        <f>AVERAGE(M143:M162)</f>
        <v/>
      </c>
      <c r="AA162">
        <f>AVERAGE(R143:R162)</f>
        <v/>
      </c>
      <c r="AB162">
        <f>AVERAGE(W143:W162)</f>
        <v/>
      </c>
      <c r="AC162">
        <f>AVERAGE(X143:X162)</f>
        <v/>
      </c>
      <c r="AD162">
        <f>0.5*Y162+0.5*AA162</f>
        <v/>
      </c>
      <c r="AE162">
        <f>Settings!$B$3+Settings!$B$4*Z162</f>
        <v/>
      </c>
      <c r="AF162">
        <f>AC162</f>
        <v/>
      </c>
      <c r="AG162">
        <f>0.5*Y162+0.5*AC162</f>
        <v/>
      </c>
      <c r="AH162">
        <f>(AA162+AB162+Y162)/3</f>
        <v/>
      </c>
      <c r="AI162">
        <f>0.7*AA162+0.3*Y162</f>
        <v/>
      </c>
    </row>
    <row r="163">
      <c r="A163" t="inlineStr">
        <is>
          <t>2025-04-01</t>
        </is>
      </c>
      <c r="B163" t="n">
        <v>872422.3704915344</v>
      </c>
      <c r="C163" t="n">
        <v>481236.952948658</v>
      </c>
      <c r="D163" t="n">
        <v>73.83592542039031</v>
      </c>
      <c r="E163" t="n">
        <v>2.559865025701985</v>
      </c>
      <c r="F163" t="n">
        <v>0.3823129651108996</v>
      </c>
      <c r="G163" t="n">
        <v>0.5896360967802502</v>
      </c>
      <c r="H163" t="n">
        <v>1.229241439385229</v>
      </c>
      <c r="I163" t="n">
        <v>83.0095052212382</v>
      </c>
      <c r="J163" t="n">
        <v>1367.902895545166</v>
      </c>
      <c r="K163" t="n">
        <v>866.5159931483184</v>
      </c>
      <c r="L163" t="n">
        <v>0.5643102040112353</v>
      </c>
      <c r="M163" t="n">
        <v>-1.221789135601739</v>
      </c>
      <c r="N163" t="n">
        <v>2.559865025701985</v>
      </c>
      <c r="O163" t="n">
        <v>2.559865025701985</v>
      </c>
      <c r="P163" t="n">
        <v>2.545465124580588</v>
      </c>
      <c r="Q163" t="n">
        <v>1.890226584678669</v>
      </c>
      <c r="R163" t="n">
        <v>-2.163152159469688</v>
      </c>
      <c r="S163" t="n">
        <v>-1.316223685195359</v>
      </c>
      <c r="T163" t="n">
        <v>-0.6609851452934401</v>
      </c>
      <c r="U163" t="n">
        <v>-1.955829027800338</v>
      </c>
      <c r="V163">
        <f>T163-R163</f>
        <v/>
      </c>
      <c r="W163">
        <f>T163-Settings!$B$5</f>
        <v/>
      </c>
      <c r="X163">
        <f>0.5*(R163+W163)</f>
        <v/>
      </c>
      <c r="Y163">
        <f>AVERAGE(L144:L163)</f>
        <v/>
      </c>
      <c r="Z163">
        <f>AVERAGE(M144:M163)</f>
        <v/>
      </c>
      <c r="AA163">
        <f>AVERAGE(R144:R163)</f>
        <v/>
      </c>
      <c r="AB163">
        <f>AVERAGE(W144:W163)</f>
        <v/>
      </c>
      <c r="AC163">
        <f>AVERAGE(X144:X163)</f>
        <v/>
      </c>
      <c r="AD163">
        <f>0.5*Y163+0.5*AA163</f>
        <v/>
      </c>
      <c r="AE163">
        <f>Settings!$B$3+Settings!$B$4*Z163</f>
        <v/>
      </c>
      <c r="AF163">
        <f>AC163</f>
        <v/>
      </c>
      <c r="AG163">
        <f>0.5*Y163+0.5*AC163</f>
        <v/>
      </c>
      <c r="AH163">
        <f>(AA163+AB163+Y163)/3</f>
        <v/>
      </c>
      <c r="AI163">
        <f>0.7*AA163+0.3*Y163</f>
        <v/>
      </c>
    </row>
    <row r="164">
      <c r="A164" t="inlineStr">
        <is>
          <t>2025-07-01</t>
        </is>
      </c>
      <c r="B164" t="n">
        <v>881769.6725419697</v>
      </c>
      <c r="C164" t="n">
        <v>481933.2976626694</v>
      </c>
      <c r="D164" t="n">
        <v>74.37793852968103</v>
      </c>
      <c r="E164" t="n">
        <v>2.699722730789834</v>
      </c>
      <c r="F164" t="n">
        <v>0.5043629583401396</v>
      </c>
      <c r="G164" t="n">
        <v>0.7125590790257033</v>
      </c>
      <c r="H164" t="n">
        <v>1.5273111298865</v>
      </c>
      <c r="I164" t="n">
        <v>82.97365435990137</v>
      </c>
      <c r="J164" t="n">
        <v>1368.968615864269</v>
      </c>
      <c r="K164" t="n">
        <v>866.7037856805996</v>
      </c>
      <c r="L164" t="n">
        <v>4.262881276412372</v>
      </c>
      <c r="M164" t="n">
        <v>0.7511701291246027</v>
      </c>
      <c r="N164" t="n">
        <v>2.699722730789834</v>
      </c>
      <c r="O164" t="n">
        <v>2.699722730789834</v>
      </c>
      <c r="P164" t="n">
        <v>2.578381358720906</v>
      </c>
      <c r="Q164" t="n">
        <v>2.011104564211488</v>
      </c>
      <c r="R164" t="n">
        <v>-2.074018400380766</v>
      </c>
      <c r="S164" t="n">
        <v>-1.051070228834406</v>
      </c>
      <c r="T164" t="n">
        <v>-0.4837934343249874</v>
      </c>
      <c r="U164" t="n">
        <v>-1.865822279695203</v>
      </c>
      <c r="V164">
        <f>T164-R164</f>
        <v/>
      </c>
      <c r="W164">
        <f>T164-Settings!$B$5</f>
        <v/>
      </c>
      <c r="X164">
        <f>0.5*(R164+W164)</f>
        <v/>
      </c>
      <c r="Y164">
        <f>AVERAGE(L145:L164)</f>
        <v/>
      </c>
      <c r="Z164">
        <f>AVERAGE(M145:M164)</f>
        <v/>
      </c>
      <c r="AA164">
        <f>AVERAGE(R145:R164)</f>
        <v/>
      </c>
      <c r="AB164">
        <f>AVERAGE(W145:W164)</f>
        <v/>
      </c>
      <c r="AC164">
        <f>AVERAGE(X145:X164)</f>
        <v/>
      </c>
      <c r="AD164">
        <f>0.5*Y164+0.5*AA164</f>
        <v/>
      </c>
      <c r="AE164">
        <f>Settings!$B$3+Settings!$B$4*Z164</f>
        <v/>
      </c>
      <c r="AF164">
        <f>AC164</f>
        <v/>
      </c>
      <c r="AG164">
        <f>0.5*Y164+0.5*AC164</f>
        <v/>
      </c>
      <c r="AH164">
        <f>(AA164+AB164+Y164)/3</f>
        <v/>
      </c>
      <c r="AI164">
        <f>0.7*AA164+0.3*Y164</f>
        <v/>
      </c>
    </row>
    <row r="165">
      <c r="A165" t="inlineStr">
        <is>
          <t>2025-10-01</t>
        </is>
      </c>
      <c r="B165" t="n">
        <v>883922.0766317253</v>
      </c>
      <c r="C165" t="n">
        <v>486026.9605275965</v>
      </c>
      <c r="D165" t="n">
        <v>74.88355232512797</v>
      </c>
      <c r="E165" t="n">
        <v>2.69493998441081</v>
      </c>
      <c r="F165" t="n">
        <v>0.5284700131895614</v>
      </c>
      <c r="G165" t="n">
        <v>0.6942871431568142</v>
      </c>
      <c r="H165" t="n">
        <v>1.602028322432399</v>
      </c>
      <c r="I165" t="n">
        <v>82.90578770435597</v>
      </c>
      <c r="J165" t="n">
        <v>1369.212418912782</v>
      </c>
      <c r="K165" t="n">
        <v>867.6314500483509</v>
      </c>
      <c r="L165" t="n">
        <v>0.9752121940518919</v>
      </c>
      <c r="M165" t="n">
        <v>3.710657471005106</v>
      </c>
      <c r="N165" t="n">
        <v>2.69493998441081</v>
      </c>
      <c r="O165" t="n">
        <v>2.69493998441081</v>
      </c>
      <c r="P165" t="n">
        <v>2.612923326323448</v>
      </c>
      <c r="Q165" t="n">
        <v>2.115534566670779</v>
      </c>
      <c r="R165" t="n">
        <v>-2.084453313133887</v>
      </c>
      <c r="S165" t="n">
        <v>-1.010895003891049</v>
      </c>
      <c r="T165" t="n">
        <v>-0.5135062442383806</v>
      </c>
      <c r="U165" t="n">
        <v>-1.918636183166634</v>
      </c>
      <c r="V165">
        <f>T165-R165</f>
        <v/>
      </c>
      <c r="W165">
        <f>T165-Settings!$B$5</f>
        <v/>
      </c>
      <c r="X165">
        <f>0.5*(R165+W165)</f>
        <v/>
      </c>
      <c r="Y165">
        <f>AVERAGE(L146:L165)</f>
        <v/>
      </c>
      <c r="Z165">
        <f>AVERAGE(M146:M165)</f>
        <v/>
      </c>
      <c r="AA165">
        <f>AVERAGE(R146:R165)</f>
        <v/>
      </c>
      <c r="AB165">
        <f>AVERAGE(W146:W165)</f>
        <v/>
      </c>
      <c r="AC165">
        <f>AVERAGE(X146:X165)</f>
        <v/>
      </c>
      <c r="AD165">
        <f>0.5*Y165+0.5*AA165</f>
        <v/>
      </c>
      <c r="AE165">
        <f>Settings!$B$3+Settings!$B$4*Z165</f>
        <v/>
      </c>
      <c r="AF165">
        <f>AC165</f>
        <v/>
      </c>
      <c r="AG165">
        <f>0.5*Y165+0.5*AC165</f>
        <v/>
      </c>
      <c r="AH165">
        <f>(AA165+AB165+Y165)/3</f>
        <v/>
      </c>
      <c r="AI165">
        <f>0.7*AA165+0.3*Y165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60" customWidth="1" min="3" max="3"/>
  </cols>
  <sheetData>
    <row r="1">
      <c r="A1" s="1" t="inlineStr">
        <is>
          <t>Settings</t>
        </is>
      </c>
    </row>
    <row r="2">
      <c r="A2" s="3" t="inlineStr">
        <is>
          <t>window (quarters)</t>
        </is>
      </c>
      <c r="B2" t="n">
        <v>20</v>
      </c>
      <c r="C2" s="4" t="inlineStr">
        <is>
          <t>Trailing window baked into the trend columns (rebuild to change)</t>
        </is>
      </c>
    </row>
    <row r="3">
      <c r="A3" s="3" t="inlineStr">
        <is>
          <t>rho (DSGE, %)</t>
        </is>
      </c>
      <c r="B3" t="n">
        <v>0</v>
      </c>
      <c r="C3" s="4" t="inlineStr">
        <is>
          <t>Rate of time preference / steady-state premium</t>
        </is>
      </c>
    </row>
    <row r="4">
      <c r="A4" s="3" t="inlineStr">
        <is>
          <t>gamma (DSGE)</t>
        </is>
      </c>
      <c r="B4" t="n">
        <v>1</v>
      </c>
      <c r="C4" s="4" t="inlineStr">
        <is>
          <t>Inverse EIS (1 = log utility)</t>
        </is>
      </c>
    </row>
    <row r="5">
      <c r="A5" s="3" t="inlineStr">
        <is>
          <t>avg real term spread</t>
        </is>
      </c>
      <c r="B5">
        <f>AVERAGE(Data!$V$2:$V$165)</f>
        <v/>
      </c>
      <c r="C5" s="4" t="inlineStr">
        <is>
          <t>Average real 10y-short spread; used to level-adjust the long rate</t>
        </is>
      </c>
    </row>
    <row r="7">
      <c r="A7" s="4" t="inlineStr">
        <is>
          <t>B3/B4 recalibrate the DSGE Euler equation and recompute live. B2 (window) is baked into the trend ranges at build time - to change it, rerun build_workbook.py. New data rows recompute automatically once formulas are filled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Dashboard - Japan r* by method</t>
        </is>
      </c>
    </row>
    <row r="2">
      <c r="A2" s="4" t="inlineStr">
        <is>
          <t>Excel proxies (live). Python faithful estimates shown where available - re-run python -m neutralrate.run_all to refresh them.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Faithful Python (state-space / MLE) estimates - from `python -m neutralrate.run_all`. Re-run to refresh.</t>
        </is>
      </c>
    </row>
    <row r="3">
      <c r="A3" s="5" t="inlineStr">
        <is>
          <t>date</t>
        </is>
      </c>
      <c r="B3" s="5" t="inlineStr">
        <is>
          <t>HLW (2023)</t>
        </is>
      </c>
      <c r="C3" s="5" t="inlineStr">
        <is>
          <t>DSGE (Okazaki-Sudo 2018)</t>
        </is>
      </c>
      <c r="D3" s="5" t="inlineStr">
        <is>
          <t>Natural Yield Curve (Imakubo et al. 2015)</t>
        </is>
      </c>
      <c r="E3" s="5" t="inlineStr">
        <is>
          <t>Natural Yield Curve (Nakajima et al. 2023)</t>
        </is>
      </c>
      <c r="F3" s="5" t="inlineStr">
        <is>
          <t>Macro-finance (Goy-Iwasaki 2024)</t>
        </is>
      </c>
      <c r="G3" s="5" t="inlineStr">
        <is>
          <t>VAR common trends (Del Negro et al. 2017)</t>
        </is>
      </c>
    </row>
    <row r="4">
      <c r="A4" t="inlineStr">
        <is>
          <t>1985-01-01</t>
        </is>
      </c>
      <c r="B4" t="n">
        <v>2.177721952688761</v>
      </c>
      <c r="C4" t="n">
        <v>3.704199271826353</v>
      </c>
      <c r="D4" t="n">
        <v>2.209899652680285</v>
      </c>
      <c r="E4" t="n">
        <v>3.534603918373683</v>
      </c>
      <c r="F4" t="n">
        <v>1.348357550632836</v>
      </c>
    </row>
    <row r="5">
      <c r="A5" t="inlineStr">
        <is>
          <t>1985-04-01</t>
        </is>
      </c>
      <c r="B5" t="n">
        <v>2.178316778208431</v>
      </c>
      <c r="C5" t="n">
        <v>3.704047735573145</v>
      </c>
      <c r="D5" t="n">
        <v>2.210144668538561</v>
      </c>
      <c r="E5" t="n">
        <v>3.534843192677726</v>
      </c>
      <c r="F5" t="n">
        <v>1.340015600903558</v>
      </c>
      <c r="G5" t="n">
        <v>2.56475200456449</v>
      </c>
    </row>
    <row r="6">
      <c r="A6" t="inlineStr">
        <is>
          <t>1985-07-01</t>
        </is>
      </c>
      <c r="B6" t="n">
        <v>2.176917346886104</v>
      </c>
      <c r="C6" t="n">
        <v>3.703592982563218</v>
      </c>
      <c r="D6" t="n">
        <v>2.207900507332232</v>
      </c>
      <c r="E6" t="n">
        <v>3.532594357250866</v>
      </c>
      <c r="F6" t="n">
        <v>1.301526808515882</v>
      </c>
      <c r="G6" t="n">
        <v>2.530152184667296</v>
      </c>
    </row>
    <row r="7">
      <c r="A7" t="inlineStr">
        <is>
          <t>1985-10-01</t>
        </is>
      </c>
      <c r="B7" t="n">
        <v>2.171420156348566</v>
      </c>
      <c r="C7" t="n">
        <v>3.702728773953192</v>
      </c>
      <c r="D7" t="n">
        <v>2.201980994102293</v>
      </c>
      <c r="E7" t="n">
        <v>3.526670023679725</v>
      </c>
      <c r="F7" t="n">
        <v>1.270810094283085</v>
      </c>
      <c r="G7" t="n">
        <v>2.533112716370969</v>
      </c>
    </row>
    <row r="8">
      <c r="A8" t="inlineStr">
        <is>
          <t>1986-01-01</t>
        </is>
      </c>
      <c r="B8" t="n">
        <v>2.169754255581379</v>
      </c>
      <c r="C8" t="n">
        <v>3.701362331830191</v>
      </c>
      <c r="D8" t="n">
        <v>2.199483727228649</v>
      </c>
      <c r="E8" t="n">
        <v>3.524166521781209</v>
      </c>
      <c r="F8" t="n">
        <v>1.24568660653752</v>
      </c>
      <c r="G8" t="n">
        <v>2.501652250543098</v>
      </c>
    </row>
    <row r="9">
      <c r="A9" t="inlineStr">
        <is>
          <t>1986-04-01</t>
        </is>
      </c>
      <c r="B9" t="n">
        <v>2.169812704178902</v>
      </c>
      <c r="C9" t="n">
        <v>3.699387075888097</v>
      </c>
      <c r="D9" t="n">
        <v>2.198284616935769</v>
      </c>
      <c r="E9" t="n">
        <v>3.522961112525897</v>
      </c>
      <c r="F9" t="n">
        <v>1.240310372230619</v>
      </c>
      <c r="G9" t="n">
        <v>2.534568529651569</v>
      </c>
    </row>
    <row r="10">
      <c r="A10" t="inlineStr">
        <is>
          <t>1986-07-01</t>
        </is>
      </c>
      <c r="B10" t="n">
        <v>2.166680050690169</v>
      </c>
      <c r="C10" t="n">
        <v>3.696701321823354</v>
      </c>
      <c r="D10" t="n">
        <v>2.194043770983817</v>
      </c>
      <c r="E10" t="n">
        <v>3.518714743570131</v>
      </c>
      <c r="F10" t="n">
        <v>1.225902398706423</v>
      </c>
      <c r="G10" t="n">
        <v>2.52388065600452</v>
      </c>
    </row>
    <row r="11">
      <c r="A11" t="inlineStr">
        <is>
          <t>1986-10-01</t>
        </is>
      </c>
      <c r="B11" t="n">
        <v>2.160637998585528</v>
      </c>
      <c r="C11" t="n">
        <v>3.693211176000598</v>
      </c>
      <c r="D11" t="n">
        <v>2.187450846979961</v>
      </c>
      <c r="E11" t="n">
        <v>3.512117161127158</v>
      </c>
      <c r="F11" t="n">
        <v>1.216439577320639</v>
      </c>
      <c r="G11" t="n">
        <v>2.532823188427562</v>
      </c>
    </row>
    <row r="12">
      <c r="A12" t="inlineStr">
        <is>
          <t>1987-01-01</t>
        </is>
      </c>
      <c r="B12" t="n">
        <v>2.151458345899762</v>
      </c>
      <c r="C12" t="n">
        <v>3.688854835180576</v>
      </c>
      <c r="D12" t="n">
        <v>2.177741737609594</v>
      </c>
      <c r="E12" t="n">
        <v>3.5024039882625</v>
      </c>
      <c r="F12" t="n">
        <v>1.213434272773972</v>
      </c>
      <c r="G12" t="n">
        <v>2.578625672371654</v>
      </c>
    </row>
    <row r="13">
      <c r="A13" t="inlineStr">
        <is>
          <t>1987-04-01</t>
        </is>
      </c>
      <c r="B13" t="n">
        <v>2.140704567301118</v>
      </c>
      <c r="C13" t="n">
        <v>3.683574737452496</v>
      </c>
      <c r="D13" t="n">
        <v>2.166915702905733</v>
      </c>
      <c r="E13" t="n">
        <v>3.491575013245078</v>
      </c>
      <c r="F13" t="n">
        <v>1.182886211490589</v>
      </c>
      <c r="G13" t="n">
        <v>2.527005570518888</v>
      </c>
    </row>
    <row r="14">
      <c r="A14" t="inlineStr">
        <is>
          <t>1987-07-01</t>
        </is>
      </c>
      <c r="B14" t="n">
        <v>2.12383145988612</v>
      </c>
      <c r="C14" t="n">
        <v>3.677310803238674</v>
      </c>
      <c r="D14" t="n">
        <v>2.150546875676456</v>
      </c>
      <c r="E14" t="n">
        <v>3.475205408009893</v>
      </c>
      <c r="F14" t="n">
        <v>1.174458782509249</v>
      </c>
      <c r="G14" t="n">
        <v>2.535659425448616</v>
      </c>
    </row>
    <row r="15">
      <c r="A15" t="inlineStr">
        <is>
          <t>1987-10-01</t>
        </is>
      </c>
      <c r="B15" t="n">
        <v>2.101110580770969</v>
      </c>
      <c r="C15" t="n">
        <v>3.67003370590148</v>
      </c>
      <c r="D15" t="n">
        <v>2.129074727327276</v>
      </c>
      <c r="E15" t="n">
        <v>3.453734160810743</v>
      </c>
      <c r="F15" t="n">
        <v>1.15969460417526</v>
      </c>
      <c r="G15" t="n">
        <v>2.520064680399651</v>
      </c>
    </row>
    <row r="16">
      <c r="A16" t="inlineStr">
        <is>
          <t>1988-01-01</t>
        </is>
      </c>
      <c r="B16" t="n">
        <v>2.07485995013801</v>
      </c>
      <c r="C16" t="n">
        <v>3.661761584127795</v>
      </c>
      <c r="D16" t="n">
        <v>2.104719053581218</v>
      </c>
      <c r="E16" t="n">
        <v>3.429381157065109</v>
      </c>
      <c r="F16" t="n">
        <v>1.129015202505949</v>
      </c>
      <c r="G16" t="n">
        <v>2.456796477819112</v>
      </c>
    </row>
    <row r="17">
      <c r="A17" t="inlineStr">
        <is>
          <t>1988-04-01</t>
        </is>
      </c>
      <c r="B17" t="n">
        <v>2.042924138950046</v>
      </c>
      <c r="C17" t="n">
        <v>3.652548717586725</v>
      </c>
      <c r="D17" t="n">
        <v>2.075302720544455</v>
      </c>
      <c r="E17" t="n">
        <v>3.399969420299173</v>
      </c>
      <c r="F17" t="n">
        <v>1.121564061908328</v>
      </c>
      <c r="G17" t="n">
        <v>2.470750299414413</v>
      </c>
    </row>
    <row r="18">
      <c r="A18" t="inlineStr">
        <is>
          <t>1988-07-01</t>
        </is>
      </c>
      <c r="B18" t="n">
        <v>2.00815343705289</v>
      </c>
      <c r="C18" t="n">
        <v>3.642452930951761</v>
      </c>
      <c r="D18" t="n">
        <v>2.043270274548694</v>
      </c>
      <c r="E18" t="n">
        <v>3.367942107786765</v>
      </c>
      <c r="F18" t="n">
        <v>1.11443315358119</v>
      </c>
      <c r="G18" t="n">
        <v>2.478082262090729</v>
      </c>
    </row>
    <row r="19">
      <c r="A19" t="inlineStr">
        <is>
          <t>1988-10-01</t>
        </is>
      </c>
      <c r="B19" t="n">
        <v>1.974858358192204</v>
      </c>
      <c r="C19" t="n">
        <v>3.631541510154553</v>
      </c>
      <c r="D19" t="n">
        <v>2.012806204862389</v>
      </c>
      <c r="E19" t="n">
        <v>3.337483325981761</v>
      </c>
      <c r="F19" t="n">
        <v>1.097878235558695</v>
      </c>
      <c r="G19" t="n">
        <v>2.441122700238044</v>
      </c>
    </row>
    <row r="20">
      <c r="A20" t="inlineStr">
        <is>
          <t>1989-01-01</t>
        </is>
      </c>
      <c r="B20" t="n">
        <v>1.941444555288562</v>
      </c>
      <c r="C20" t="n">
        <v>3.619881522975725</v>
      </c>
      <c r="D20" t="n">
        <v>1.981636722745642</v>
      </c>
      <c r="E20" t="n">
        <v>3.306318922476326</v>
      </c>
      <c r="F20" t="n">
        <v>1.088178313616716</v>
      </c>
      <c r="G20" t="n">
        <v>2.412505959111927</v>
      </c>
    </row>
    <row r="21">
      <c r="A21" t="inlineStr">
        <is>
          <t>1989-04-01</t>
        </is>
      </c>
      <c r="B21" t="n">
        <v>1.911143332745917</v>
      </c>
      <c r="C21" t="n">
        <v>3.607564872832095</v>
      </c>
      <c r="D21" t="n">
        <v>1.953642287630632</v>
      </c>
      <c r="E21" t="n">
        <v>3.278329350014131</v>
      </c>
      <c r="F21" t="n">
        <v>1.092414188838025</v>
      </c>
      <c r="G21" t="n">
        <v>2.449032602254631</v>
      </c>
    </row>
    <row r="22">
      <c r="A22" t="inlineStr">
        <is>
          <t>1989-07-01</t>
        </is>
      </c>
      <c r="B22" t="n">
        <v>1.880424265108846</v>
      </c>
      <c r="C22" t="n">
        <v>3.594654977261091</v>
      </c>
      <c r="D22" t="n">
        <v>1.924814980483654</v>
      </c>
      <c r="E22" t="n">
        <v>3.249506995587554</v>
      </c>
      <c r="F22" t="n">
        <v>1.084510705668458</v>
      </c>
      <c r="G22" t="n">
        <v>2.442757824900379</v>
      </c>
    </row>
    <row r="23">
      <c r="A23" t="inlineStr">
        <is>
          <t>1989-10-01</t>
        </is>
      </c>
      <c r="B23" t="n">
        <v>1.851775014279605</v>
      </c>
      <c r="C23" t="n">
        <v>3.581210762686716</v>
      </c>
      <c r="D23" t="n">
        <v>1.898067432027573</v>
      </c>
      <c r="E23" t="n">
        <v>3.22276360910094</v>
      </c>
      <c r="F23" t="n">
        <v>1.072365786455583</v>
      </c>
      <c r="G23" t="n">
        <v>2.433873333074002</v>
      </c>
    </row>
    <row r="24">
      <c r="A24" t="inlineStr">
        <is>
          <t>1990-01-01</t>
        </is>
      </c>
      <c r="B24" t="n">
        <v>1.827209892733777</v>
      </c>
      <c r="C24" t="n">
        <v>3.567305346170463</v>
      </c>
      <c r="D24" t="n">
        <v>1.874518902959199</v>
      </c>
      <c r="E24" t="n">
        <v>3.199217735214904</v>
      </c>
      <c r="F24" t="n">
        <v>1.075507081809904</v>
      </c>
      <c r="G24" t="n">
        <v>2.483371274358522</v>
      </c>
    </row>
    <row r="25">
      <c r="A25" t="inlineStr">
        <is>
          <t>1990-04-01</t>
        </is>
      </c>
      <c r="B25" t="n">
        <v>1.807682507655114</v>
      </c>
      <c r="C25" t="n">
        <v>3.552990702315751</v>
      </c>
      <c r="D25" t="n">
        <v>1.855710162838028</v>
      </c>
      <c r="E25" t="n">
        <v>3.180410736043769</v>
      </c>
      <c r="F25" t="n">
        <v>1.062499917621588</v>
      </c>
      <c r="G25" t="n">
        <v>2.421822200030253</v>
      </c>
    </row>
    <row r="26">
      <c r="A26" t="inlineStr">
        <is>
          <t>1990-07-01</t>
        </is>
      </c>
      <c r="B26" t="n">
        <v>1.788793362891245</v>
      </c>
      <c r="C26" t="n">
        <v>3.538315925370654</v>
      </c>
      <c r="D26" t="n">
        <v>1.83705983153875</v>
      </c>
      <c r="E26" t="n">
        <v>3.161761452259575</v>
      </c>
      <c r="F26" t="n">
        <v>1.064484604472635</v>
      </c>
      <c r="G26" t="n">
        <v>2.416785223558922</v>
      </c>
    </row>
    <row r="27">
      <c r="A27" t="inlineStr">
        <is>
          <t>1990-10-01</t>
        </is>
      </c>
      <c r="B27" t="n">
        <v>1.774103608735355</v>
      </c>
      <c r="C27" t="n">
        <v>3.523309136752895</v>
      </c>
      <c r="D27" t="n">
        <v>1.822298247770023</v>
      </c>
      <c r="E27" t="n">
        <v>3.146999097920681</v>
      </c>
      <c r="F27" t="n">
        <v>1.058367127053101</v>
      </c>
      <c r="G27" t="n">
        <v>2.36291025802168</v>
      </c>
    </row>
    <row r="28">
      <c r="A28" t="inlineStr">
        <is>
          <t>1991-01-01</t>
        </is>
      </c>
      <c r="B28" t="n">
        <v>1.765297463175659</v>
      </c>
      <c r="C28" t="n">
        <v>3.507962215206461</v>
      </c>
      <c r="D28" t="n">
        <v>1.812419593671257</v>
      </c>
      <c r="E28" t="n">
        <v>3.137117551745373</v>
      </c>
      <c r="F28" t="n">
        <v>1.078108748570869</v>
      </c>
      <c r="G28" t="n">
        <v>2.402636329394436</v>
      </c>
    </row>
    <row r="29">
      <c r="A29" t="inlineStr">
        <is>
          <t>1991-04-01</t>
        </is>
      </c>
      <c r="B29" t="n">
        <v>1.76162715872454</v>
      </c>
      <c r="C29" t="n">
        <v>3.492242189273123</v>
      </c>
      <c r="D29" t="n">
        <v>1.807051292631733</v>
      </c>
      <c r="E29" t="n">
        <v>3.131744753225282</v>
      </c>
      <c r="F29" t="n">
        <v>1.081446937553356</v>
      </c>
      <c r="G29" t="n">
        <v>2.368897065457323</v>
      </c>
    </row>
    <row r="30">
      <c r="A30" t="inlineStr">
        <is>
          <t>1991-07-01</t>
        </is>
      </c>
      <c r="B30" t="n">
        <v>1.760350295261815</v>
      </c>
      <c r="C30" t="n">
        <v>3.476146361211454</v>
      </c>
      <c r="D30" t="n">
        <v>1.803589981721623</v>
      </c>
      <c r="E30" t="n">
        <v>3.128277839360781</v>
      </c>
      <c r="F30" t="n">
        <v>1.090577778751502</v>
      </c>
      <c r="G30" t="n">
        <v>2.383887306950875</v>
      </c>
    </row>
    <row r="31">
      <c r="A31" t="inlineStr">
        <is>
          <t>1991-10-01</t>
        </is>
      </c>
      <c r="B31" t="n">
        <v>1.761156504176098</v>
      </c>
      <c r="C31" t="n">
        <v>3.459669325531499</v>
      </c>
      <c r="D31" t="n">
        <v>1.80202218739967</v>
      </c>
      <c r="E31" t="n">
        <v>3.126703384712389</v>
      </c>
      <c r="F31" t="n">
        <v>1.069585669048432</v>
      </c>
      <c r="G31" t="n">
        <v>2.326017725240241</v>
      </c>
    </row>
    <row r="32">
      <c r="A32" t="inlineStr">
        <is>
          <t>1992-01-01</t>
        </is>
      </c>
      <c r="B32" t="n">
        <v>1.763758095607506</v>
      </c>
      <c r="C32" t="n">
        <v>3.442760583498273</v>
      </c>
      <c r="D32" t="n">
        <v>1.801788285696319</v>
      </c>
      <c r="E32" t="n">
        <v>3.126461930179274</v>
      </c>
      <c r="F32" t="n">
        <v>1.040743187855164</v>
      </c>
      <c r="G32" t="n">
        <v>2.243141673312959</v>
      </c>
    </row>
    <row r="33">
      <c r="A33" t="inlineStr">
        <is>
          <t>1992-04-01</t>
        </is>
      </c>
      <c r="B33" t="n">
        <v>1.76646121614382</v>
      </c>
      <c r="C33" t="n">
        <v>3.425364743487543</v>
      </c>
      <c r="D33" t="n">
        <v>1.80202791890846</v>
      </c>
      <c r="E33" t="n">
        <v>3.126694418104378</v>
      </c>
      <c r="F33" t="n">
        <v>1.032778137057558</v>
      </c>
      <c r="G33" t="n">
        <v>2.22063563104942</v>
      </c>
    </row>
    <row r="34">
      <c r="A34" t="inlineStr">
        <is>
          <t>1992-07-01</t>
        </is>
      </c>
      <c r="B34" t="n">
        <v>1.764616634923075</v>
      </c>
      <c r="C34" t="n">
        <v>3.407454792917298</v>
      </c>
      <c r="D34" t="n">
        <v>1.797808948682286</v>
      </c>
      <c r="E34" t="n">
        <v>3.122468585003647</v>
      </c>
      <c r="F34" t="n">
        <v>1.021839664379434</v>
      </c>
      <c r="G34" t="n">
        <v>2.1919079371338</v>
      </c>
    </row>
    <row r="35">
      <c r="A35" t="inlineStr">
        <is>
          <t>1992-10-01</t>
        </is>
      </c>
      <c r="B35" t="n">
        <v>1.764167808815742</v>
      </c>
      <c r="C35" t="n">
        <v>3.388980354340865</v>
      </c>
      <c r="D35" t="n">
        <v>1.795148865337908</v>
      </c>
      <c r="E35" t="n">
        <v>3.119800554241901</v>
      </c>
      <c r="F35" t="n">
        <v>1.010382737552253</v>
      </c>
      <c r="G35" t="n">
        <v>2.134776904113722</v>
      </c>
    </row>
    <row r="36">
      <c r="A36" t="inlineStr">
        <is>
          <t>1993-01-01</t>
        </is>
      </c>
      <c r="B36" t="n">
        <v>1.766019569783914</v>
      </c>
      <c r="C36" t="n">
        <v>3.369885637216781</v>
      </c>
      <c r="D36" t="n">
        <v>1.79400980297066</v>
      </c>
      <c r="E36" t="n">
        <v>3.11865235134161</v>
      </c>
      <c r="F36" t="n">
        <v>1.00991145345539</v>
      </c>
      <c r="G36" t="n">
        <v>2.127206555506599</v>
      </c>
    </row>
    <row r="37">
      <c r="A37" t="inlineStr">
        <is>
          <t>1993-04-01</t>
        </is>
      </c>
      <c r="B37" t="n">
        <v>1.769478028262196</v>
      </c>
      <c r="C37" t="n">
        <v>3.35012973234538</v>
      </c>
      <c r="D37" t="n">
        <v>1.794300850040297</v>
      </c>
      <c r="E37" t="n">
        <v>3.118933968279706</v>
      </c>
      <c r="F37" t="n">
        <v>0.994556847323479</v>
      </c>
      <c r="G37" t="n">
        <v>2.059346208743714</v>
      </c>
    </row>
    <row r="38">
      <c r="A38" t="inlineStr">
        <is>
          <t>1993-07-01</t>
        </is>
      </c>
      <c r="B38" t="n">
        <v>1.769435465085519</v>
      </c>
      <c r="C38" t="n">
        <v>3.329647835656707</v>
      </c>
      <c r="D38" t="n">
        <v>1.79141029631736</v>
      </c>
      <c r="E38" t="n">
        <v>3.116035231002156</v>
      </c>
      <c r="F38" t="n">
        <v>0.9871530699995036</v>
      </c>
      <c r="G38" t="n">
        <v>2.033405333778984</v>
      </c>
    </row>
    <row r="39">
      <c r="A39" t="inlineStr">
        <is>
          <t>1993-10-01</t>
        </is>
      </c>
      <c r="B39" t="n">
        <v>1.763509821072912</v>
      </c>
      <c r="C39" t="n">
        <v>3.308393332950041</v>
      </c>
      <c r="D39" t="n">
        <v>1.783287063712164</v>
      </c>
      <c r="E39" t="n">
        <v>3.107905026437993</v>
      </c>
      <c r="F39" t="n">
        <v>0.9723591791090398</v>
      </c>
      <c r="G39" t="n">
        <v>1.970032990214896</v>
      </c>
    </row>
    <row r="40">
      <c r="A40" t="inlineStr">
        <is>
          <t>1994-01-01</t>
        </is>
      </c>
      <c r="B40" t="n">
        <v>1.754896783753763</v>
      </c>
      <c r="C40" t="n">
        <v>3.286335311125574</v>
      </c>
      <c r="D40" t="n">
        <v>1.77278863429485</v>
      </c>
      <c r="E40" t="n">
        <v>3.097399882424677</v>
      </c>
      <c r="F40" t="n">
        <v>0.9608034335403718</v>
      </c>
      <c r="G40" t="n">
        <v>1.924949327579522</v>
      </c>
    </row>
    <row r="41">
      <c r="A41" t="inlineStr">
        <is>
          <t>1994-04-01</t>
        </is>
      </c>
      <c r="B41" t="n">
        <v>1.745838282958587</v>
      </c>
      <c r="C41" t="n">
        <v>3.263459249393464</v>
      </c>
      <c r="D41" t="n">
        <v>1.761602459057018</v>
      </c>
      <c r="E41" t="n">
        <v>3.086206914169794</v>
      </c>
      <c r="F41" t="n">
        <v>0.9429838200764372</v>
      </c>
      <c r="G41" t="n">
        <v>1.878808015189329</v>
      </c>
    </row>
    <row r="42">
      <c r="A42" t="inlineStr">
        <is>
          <t>1994-07-01</t>
        </is>
      </c>
      <c r="B42" t="n">
        <v>1.73546453839475</v>
      </c>
      <c r="C42" t="n">
        <v>3.239768597625786</v>
      </c>
      <c r="D42" t="n">
        <v>1.74923462825967</v>
      </c>
      <c r="E42" t="n">
        <v>3.073833223286655</v>
      </c>
      <c r="F42" t="n">
        <v>0.9086099935432176</v>
      </c>
      <c r="G42" t="n">
        <v>1.781105450586521</v>
      </c>
    </row>
    <row r="43">
      <c r="A43" t="inlineStr">
        <is>
          <t>1994-10-01</t>
        </is>
      </c>
      <c r="B43" t="n">
        <v>1.719164918978425</v>
      </c>
      <c r="C43" t="n">
        <v>3.215247820217695</v>
      </c>
      <c r="D43" t="n">
        <v>1.731451883498519</v>
      </c>
      <c r="E43" t="n">
        <v>3.056046705154733</v>
      </c>
      <c r="F43" t="n">
        <v>0.8946559458174154</v>
      </c>
      <c r="G43" t="n">
        <v>1.749983924032244</v>
      </c>
    </row>
    <row r="44">
      <c r="A44" t="inlineStr">
        <is>
          <t>1995-01-01</t>
        </is>
      </c>
      <c r="B44" t="n">
        <v>1.695959667410861</v>
      </c>
      <c r="C44" t="n">
        <v>3.189910556413487</v>
      </c>
      <c r="D44" t="n">
        <v>1.707760592606272</v>
      </c>
      <c r="E44" t="n">
        <v>3.032353858569879</v>
      </c>
      <c r="F44" t="n">
        <v>0.8689381497552393</v>
      </c>
      <c r="G44" t="n">
        <v>1.677351652513783</v>
      </c>
    </row>
    <row r="45">
      <c r="A45" t="inlineStr">
        <is>
          <t>1995-04-01</t>
        </is>
      </c>
      <c r="B45" t="n">
        <v>1.667201728121246</v>
      </c>
      <c r="C45" t="n">
        <v>3.163755833549857</v>
      </c>
      <c r="D45" t="n">
        <v>1.678940923361449</v>
      </c>
      <c r="E45" t="n">
        <v>3.003534045183296</v>
      </c>
      <c r="F45" t="n">
        <v>0.8513084031218769</v>
      </c>
      <c r="G45" t="n">
        <v>1.630375885429617</v>
      </c>
    </row>
    <row r="46">
      <c r="A46" t="inlineStr">
        <is>
          <t>1995-07-01</t>
        </is>
      </c>
      <c r="B46" t="n">
        <v>1.636328690846989</v>
      </c>
      <c r="C46" t="n">
        <v>3.136831240924697</v>
      </c>
      <c r="D46" t="n">
        <v>1.648390486115823</v>
      </c>
      <c r="E46" t="n">
        <v>2.972984596118025</v>
      </c>
      <c r="F46" t="n">
        <v>0.838017106691763</v>
      </c>
      <c r="G46" t="n">
        <v>1.568996331323955</v>
      </c>
    </row>
    <row r="47">
      <c r="A47" t="inlineStr">
        <is>
          <t>1995-10-01</t>
        </is>
      </c>
      <c r="B47" t="n">
        <v>1.601617339028524</v>
      </c>
      <c r="C47" t="n">
        <v>3.109181100951862</v>
      </c>
      <c r="D47" t="n">
        <v>1.614190071243094</v>
      </c>
      <c r="E47" t="n">
        <v>2.938786684210478</v>
      </c>
      <c r="F47" t="n">
        <v>0.8261773692521363</v>
      </c>
      <c r="G47" t="n">
        <v>1.53161455870015</v>
      </c>
    </row>
    <row r="48">
      <c r="A48" t="inlineStr">
        <is>
          <t>1996-01-01</t>
        </is>
      </c>
      <c r="B48" t="n">
        <v>1.563500787037096</v>
      </c>
      <c r="C48" t="n">
        <v>3.080853158161186</v>
      </c>
      <c r="D48" t="n">
        <v>1.576977658657678</v>
      </c>
      <c r="E48" t="n">
        <v>2.901578170354161</v>
      </c>
      <c r="F48" t="n">
        <v>0.8039420966490248</v>
      </c>
      <c r="G48" t="n">
        <v>1.450485868513909</v>
      </c>
    </row>
    <row r="49">
      <c r="A49" t="inlineStr">
        <is>
          <t>1996-04-01</t>
        </is>
      </c>
      <c r="B49" t="n">
        <v>1.522124804521511</v>
      </c>
      <c r="C49" t="n">
        <v>3.051912042595113</v>
      </c>
      <c r="D49" t="n">
        <v>1.536961235839429</v>
      </c>
      <c r="E49" t="n">
        <v>2.861567343795399</v>
      </c>
      <c r="F49" t="n">
        <v>0.7902694089661174</v>
      </c>
      <c r="G49" t="n">
        <v>1.42118502145311</v>
      </c>
    </row>
    <row r="50">
      <c r="A50" t="inlineStr">
        <is>
          <t>1996-07-01</t>
        </is>
      </c>
      <c r="B50" t="n">
        <v>1.476560868809999</v>
      </c>
      <c r="C50" t="n">
        <v>3.022438944393438</v>
      </c>
      <c r="D50" t="n">
        <v>1.493083556429213</v>
      </c>
      <c r="E50" t="n">
        <v>2.817696805124851</v>
      </c>
      <c r="F50" t="n">
        <v>0.7532555772868583</v>
      </c>
      <c r="G50" t="n">
        <v>1.303000945807292</v>
      </c>
    </row>
    <row r="51">
      <c r="A51" t="inlineStr">
        <is>
          <t>1996-10-01</t>
        </is>
      </c>
      <c r="B51" t="n">
        <v>1.428994430808541</v>
      </c>
      <c r="C51" t="n">
        <v>2.992550281553824</v>
      </c>
      <c r="D51" t="n">
        <v>1.447645769407027</v>
      </c>
      <c r="E51" t="n">
        <v>2.77226737386868</v>
      </c>
      <c r="F51" t="n">
        <v>0.7378730992958301</v>
      </c>
      <c r="G51" t="n">
        <v>1.268679684572692</v>
      </c>
    </row>
    <row r="52">
      <c r="A52" t="inlineStr">
        <is>
          <t>1997-01-01</t>
        </is>
      </c>
      <c r="B52" t="n">
        <v>1.379479733880631</v>
      </c>
      <c r="C52" t="n">
        <v>2.962333886838155</v>
      </c>
      <c r="D52" t="n">
        <v>1.400305893049107</v>
      </c>
      <c r="E52" t="n">
        <v>2.724936733068263</v>
      </c>
      <c r="F52" t="n">
        <v>0.7214442438735941</v>
      </c>
      <c r="G52" t="n">
        <v>1.204208546107898</v>
      </c>
    </row>
    <row r="53">
      <c r="A53" t="inlineStr">
        <is>
          <t>1997-04-01</t>
        </is>
      </c>
      <c r="B53" t="n">
        <v>1.330346725062688</v>
      </c>
      <c r="C53" t="n">
        <v>2.931908514334981</v>
      </c>
      <c r="D53" t="n">
        <v>1.353351391109348</v>
      </c>
      <c r="E53" t="n">
        <v>2.677991837181656</v>
      </c>
      <c r="F53" t="n">
        <v>0.7174654180211695</v>
      </c>
      <c r="G53" t="n">
        <v>1.209024525060461</v>
      </c>
    </row>
    <row r="54">
      <c r="A54" t="inlineStr">
        <is>
          <t>1997-07-01</t>
        </is>
      </c>
      <c r="B54" t="n">
        <v>1.28164211715431</v>
      </c>
      <c r="C54" t="n">
        <v>2.90137973182753</v>
      </c>
      <c r="D54" t="n">
        <v>1.306898667730256</v>
      </c>
      <c r="E54" t="n">
        <v>2.631549191017646</v>
      </c>
      <c r="F54" t="n">
        <v>0.7134807663836307</v>
      </c>
      <c r="G54" t="n">
        <v>1.213578715159632</v>
      </c>
    </row>
    <row r="55">
      <c r="A55" t="inlineStr">
        <is>
          <t>1997-10-01</t>
        </is>
      </c>
      <c r="B55" t="n">
        <v>1.233882970830451</v>
      </c>
      <c r="C55" t="n">
        <v>2.870855211897288</v>
      </c>
      <c r="D55" t="n">
        <v>1.260915740726264</v>
      </c>
      <c r="E55" t="n">
        <v>2.585575515861116</v>
      </c>
      <c r="F55" t="n">
        <v>0.700565470920656</v>
      </c>
      <c r="G55" t="n">
        <v>1.193824091686906</v>
      </c>
    </row>
    <row r="56">
      <c r="A56" t="inlineStr">
        <is>
          <t>1998-01-01</t>
        </is>
      </c>
      <c r="B56" t="n">
        <v>1.193186673256518</v>
      </c>
      <c r="C56" t="n">
        <v>2.840461486361153</v>
      </c>
      <c r="D56" t="n">
        <v>1.221429020250188</v>
      </c>
      <c r="E56" t="n">
        <v>2.546096283865074</v>
      </c>
      <c r="F56" t="n">
        <v>0.6969086570936842</v>
      </c>
      <c r="G56" t="n">
        <v>1.209446074932001</v>
      </c>
    </row>
    <row r="57">
      <c r="A57" t="inlineStr">
        <is>
          <t>1998-04-01</t>
        </is>
      </c>
      <c r="B57" t="n">
        <v>1.157638325308193</v>
      </c>
      <c r="C57" t="n">
        <v>2.810286867412405</v>
      </c>
      <c r="D57" t="n">
        <v>1.186103603932676</v>
      </c>
      <c r="E57" t="n">
        <v>2.510776905075414</v>
      </c>
      <c r="F57" t="n">
        <v>0.6781589017251364</v>
      </c>
      <c r="G57" t="n">
        <v>1.127328352545669</v>
      </c>
    </row>
    <row r="58">
      <c r="A58" t="inlineStr">
        <is>
          <t>1998-07-01</t>
        </is>
      </c>
      <c r="B58" t="n">
        <v>1.127463848598389</v>
      </c>
      <c r="C58" t="n">
        <v>2.780419415696717</v>
      </c>
      <c r="D58" t="n">
        <v>1.155554281134886</v>
      </c>
      <c r="E58" t="n">
        <v>2.480231785808426</v>
      </c>
      <c r="F58" t="n">
        <v>0.6539831863191046</v>
      </c>
      <c r="G58" t="n">
        <v>1.045163285400569</v>
      </c>
    </row>
    <row r="59">
      <c r="A59" t="inlineStr">
        <is>
          <t>1998-10-01</t>
        </is>
      </c>
      <c r="B59" t="n">
        <v>1.103707586351232</v>
      </c>
      <c r="C59" t="n">
        <v>2.750900355221919</v>
      </c>
      <c r="D59" t="n">
        <v>1.130427565829492</v>
      </c>
      <c r="E59" t="n">
        <v>2.455107345255933</v>
      </c>
      <c r="F59" t="n">
        <v>0.6425979316721477</v>
      </c>
      <c r="G59" t="n">
        <v>0.9704716145598083</v>
      </c>
    </row>
    <row r="60">
      <c r="A60" t="inlineStr">
        <is>
          <t>1999-01-01</t>
        </is>
      </c>
      <c r="B60" t="n">
        <v>1.084392829494272</v>
      </c>
      <c r="C60" t="n">
        <v>2.721739941614024</v>
      </c>
      <c r="D60" t="n">
        <v>1.10957190507716</v>
      </c>
      <c r="E60" t="n">
        <v>2.434253263466095</v>
      </c>
      <c r="F60" t="n">
        <v>0.6572246227228044</v>
      </c>
      <c r="G60" t="n">
        <v>0.9678734468256984</v>
      </c>
    </row>
    <row r="61">
      <c r="A61" t="inlineStr">
        <is>
          <t>1999-04-01</t>
        </is>
      </c>
      <c r="B61" t="n">
        <v>1.065354330466997</v>
      </c>
      <c r="C61" t="n">
        <v>2.692941323099362</v>
      </c>
      <c r="D61" t="n">
        <v>1.08838947258527</v>
      </c>
      <c r="E61" t="n">
        <v>2.413071432243743</v>
      </c>
      <c r="F61" t="n">
        <v>0.6657934605891227</v>
      </c>
      <c r="G61" t="n">
        <v>0.9701951173580941</v>
      </c>
    </row>
    <row r="62">
      <c r="A62" t="inlineStr">
        <is>
          <t>1999-07-01</t>
        </is>
      </c>
      <c r="B62" t="n">
        <v>1.05150899430827</v>
      </c>
      <c r="C62" t="n">
        <v>2.664513710534574</v>
      </c>
      <c r="D62" t="n">
        <v>1.072579095062118</v>
      </c>
      <c r="E62" t="n">
        <v>2.397260396266689</v>
      </c>
      <c r="F62" t="n">
        <v>0.6727934116604161</v>
      </c>
      <c r="G62" t="n">
        <v>0.9572675560365012</v>
      </c>
    </row>
    <row r="63">
      <c r="A63" t="inlineStr">
        <is>
          <t>1999-10-01</t>
        </is>
      </c>
      <c r="B63" t="n">
        <v>1.039421418461711</v>
      </c>
      <c r="C63" t="n">
        <v>2.636441586700357</v>
      </c>
      <c r="D63" t="n">
        <v>1.057505829892928</v>
      </c>
      <c r="E63" t="n">
        <v>2.382184796739592</v>
      </c>
      <c r="F63" t="n">
        <v>0.6799212090692611</v>
      </c>
      <c r="G63" t="n">
        <v>0.9461167831712648</v>
      </c>
    </row>
    <row r="64">
      <c r="A64" t="inlineStr">
        <is>
          <t>2000-01-01</t>
        </is>
      </c>
      <c r="B64" t="n">
        <v>1.034789836333053</v>
      </c>
      <c r="C64" t="n">
        <v>2.608689783711277</v>
      </c>
      <c r="D64" t="n">
        <v>1.049470269917963</v>
      </c>
      <c r="E64" t="n">
        <v>2.37414447447555</v>
      </c>
      <c r="F64" t="n">
        <v>0.686996847324062</v>
      </c>
      <c r="G64" t="n">
        <v>0.922210232726174</v>
      </c>
    </row>
    <row r="65">
      <c r="A65" t="inlineStr">
        <is>
          <t>2000-04-01</t>
        </is>
      </c>
      <c r="B65" t="n">
        <v>1.03415868625511</v>
      </c>
      <c r="C65" t="n">
        <v>2.581213185517281</v>
      </c>
      <c r="D65" t="n">
        <v>1.044536513261732</v>
      </c>
      <c r="E65" t="n">
        <v>2.36920474472134</v>
      </c>
      <c r="F65" t="n">
        <v>0.6953529169451965</v>
      </c>
      <c r="G65" t="n">
        <v>0.9254935690556084</v>
      </c>
    </row>
    <row r="66">
      <c r="A66" t="inlineStr">
        <is>
          <t>2000-07-01</t>
        </is>
      </c>
      <c r="B66" t="n">
        <v>1.034338326789552</v>
      </c>
      <c r="C66" t="n">
        <v>2.553956837203716</v>
      </c>
      <c r="D66" t="n">
        <v>1.040460406846067</v>
      </c>
      <c r="E66" t="n">
        <v>2.365122298516973</v>
      </c>
      <c r="F66" t="n">
        <v>0.6838816846029517</v>
      </c>
      <c r="G66" t="n">
        <v>0.8698672798045639</v>
      </c>
    </row>
    <row r="67">
      <c r="A67" t="inlineStr">
        <is>
          <t>2000-10-01</t>
        </is>
      </c>
      <c r="B67" t="n">
        <v>1.033275551337519</v>
      </c>
      <c r="C67" t="n">
        <v>2.526898003565909</v>
      </c>
      <c r="D67" t="n">
        <v>1.035312627264049</v>
      </c>
      <c r="E67" t="n">
        <v>2.359968466331831</v>
      </c>
      <c r="F67" t="n">
        <v>0.6841331187723285</v>
      </c>
      <c r="G67" t="n">
        <v>0.8594583536945029</v>
      </c>
    </row>
    <row r="68">
      <c r="A68" t="inlineStr">
        <is>
          <t>2001-01-01</t>
        </is>
      </c>
      <c r="B68" t="n">
        <v>1.02947050877117</v>
      </c>
      <c r="C68" t="n">
        <v>2.500005459659412</v>
      </c>
      <c r="D68" t="n">
        <v>1.027956082584978</v>
      </c>
      <c r="E68" t="n">
        <v>2.352606649478911</v>
      </c>
      <c r="F68" t="n">
        <v>0.6909936662212928</v>
      </c>
      <c r="G68" t="n">
        <v>0.8534838174020789</v>
      </c>
    </row>
    <row r="69">
      <c r="A69" t="inlineStr">
        <is>
          <t>2001-04-01</t>
        </is>
      </c>
      <c r="B69" t="n">
        <v>1.022261570789371</v>
      </c>
      <c r="C69" t="n">
        <v>2.473216573426881</v>
      </c>
      <c r="D69" t="n">
        <v>1.017582758360488</v>
      </c>
      <c r="E69" t="n">
        <v>2.342228549382804</v>
      </c>
      <c r="F69" t="n">
        <v>0.7053053432333247</v>
      </c>
      <c r="G69" t="n">
        <v>0.8591910604821138</v>
      </c>
    </row>
    <row r="70">
      <c r="A70" t="inlineStr">
        <is>
          <t>2001-07-01</t>
        </is>
      </c>
      <c r="B70" t="n">
        <v>1.01433371349379</v>
      </c>
      <c r="C70" t="n">
        <v>2.446487231356413</v>
      </c>
      <c r="D70" t="n">
        <v>1.006604265903123</v>
      </c>
      <c r="E70" t="n">
        <v>2.331245262813725</v>
      </c>
      <c r="F70" t="n">
        <v>0.7146942630626218</v>
      </c>
      <c r="G70" t="n">
        <v>0.8497999965904092</v>
      </c>
    </row>
    <row r="71">
      <c r="A71" t="inlineStr">
        <is>
          <t>2001-10-01</t>
        </is>
      </c>
      <c r="B71" t="n">
        <v>1.005106671572109</v>
      </c>
      <c r="C71" t="n">
        <v>2.419760328161972</v>
      </c>
      <c r="D71" t="n">
        <v>0.99464737469181</v>
      </c>
      <c r="E71" t="n">
        <v>2.319284538732965</v>
      </c>
      <c r="F71" t="n">
        <v>0.7092943379631145</v>
      </c>
      <c r="G71" t="n">
        <v>0.8179587099997447</v>
      </c>
    </row>
    <row r="72">
      <c r="A72" t="inlineStr">
        <is>
          <t>2002-01-01</t>
        </is>
      </c>
      <c r="B72" t="n">
        <v>0.9903334727794216</v>
      </c>
      <c r="C72" t="n">
        <v>2.392993463266256</v>
      </c>
      <c r="D72" t="n">
        <v>0.9777114765421228</v>
      </c>
      <c r="E72" t="n">
        <v>2.302346292416353</v>
      </c>
      <c r="F72" t="n">
        <v>0.7006044775977298</v>
      </c>
      <c r="G72" t="n">
        <v>0.7841894316074765</v>
      </c>
    </row>
    <row r="73">
      <c r="A73" t="inlineStr">
        <is>
          <t>2002-04-01</t>
        </is>
      </c>
      <c r="B73" t="n">
        <v>0.9724885797310612</v>
      </c>
      <c r="C73" t="n">
        <v>2.366179348595636</v>
      </c>
      <c r="D73" t="n">
        <v>0.9581563388268126</v>
      </c>
      <c r="E73" t="n">
        <v>2.282789242570263</v>
      </c>
      <c r="F73" t="n">
        <v>0.7005617902591147</v>
      </c>
      <c r="G73" t="n">
        <v>0.7694889719668728</v>
      </c>
    </row>
    <row r="74">
      <c r="A74" t="inlineStr">
        <is>
          <t>2002-07-01</t>
        </is>
      </c>
      <c r="B74" t="n">
        <v>0.9547927210134062</v>
      </c>
      <c r="C74" t="n">
        <v>2.339330146890782</v>
      </c>
      <c r="D74" t="n">
        <v>0.938704996287739</v>
      </c>
      <c r="E74" t="n">
        <v>2.263335914455478</v>
      </c>
      <c r="F74" t="n">
        <v>0.7011296237576303</v>
      </c>
      <c r="G74" t="n">
        <v>0.754803380436369</v>
      </c>
    </row>
    <row r="75">
      <c r="A75" t="inlineStr">
        <is>
          <t>2002-10-01</t>
        </is>
      </c>
      <c r="B75" t="n">
        <v>0.9369457910951456</v>
      </c>
      <c r="C75" t="n">
        <v>2.312435141077637</v>
      </c>
      <c r="D75" t="n">
        <v>0.9188691258398411</v>
      </c>
      <c r="E75" t="n">
        <v>2.243498222586787</v>
      </c>
      <c r="F75" t="n">
        <v>0.6985898728436559</v>
      </c>
      <c r="G75" t="n">
        <v>0.7309691532547924</v>
      </c>
    </row>
    <row r="76">
      <c r="A76" t="inlineStr">
        <is>
          <t>2003-01-01</t>
        </is>
      </c>
      <c r="B76" t="n">
        <v>0.9174641948188156</v>
      </c>
      <c r="C76" t="n">
        <v>2.285479870861552</v>
      </c>
      <c r="D76" t="n">
        <v>0.8977676095216935</v>
      </c>
      <c r="E76" t="n">
        <v>2.222396088121587</v>
      </c>
      <c r="F76" t="n">
        <v>0.701008307052389</v>
      </c>
      <c r="G76" t="n">
        <v>0.7331323490219523</v>
      </c>
    </row>
    <row r="77">
      <c r="A77" t="inlineStr">
        <is>
          <t>2003-04-01</t>
        </is>
      </c>
      <c r="B77" t="n">
        <v>0.8924588590874585</v>
      </c>
      <c r="C77" t="n">
        <v>2.258433751952458</v>
      </c>
      <c r="D77" t="n">
        <v>0.8716366844719317</v>
      </c>
      <c r="E77" t="n">
        <v>2.196266483824598</v>
      </c>
      <c r="F77" t="n">
        <v>0.7041995342569014</v>
      </c>
      <c r="G77" t="n">
        <v>0.7311265516533064</v>
      </c>
    </row>
    <row r="78">
      <c r="A78" t="inlineStr">
        <is>
          <t>2003-07-01</t>
        </is>
      </c>
      <c r="B78" t="n">
        <v>0.8622966484554615</v>
      </c>
      <c r="C78" t="n">
        <v>2.231318787090734</v>
      </c>
      <c r="D78" t="n">
        <v>0.8413724530464832</v>
      </c>
      <c r="E78" t="n">
        <v>2.166005680433747</v>
      </c>
      <c r="F78" t="n">
        <v>0.7018415688907377</v>
      </c>
      <c r="G78" t="n">
        <v>0.7084952609332353</v>
      </c>
    </row>
    <row r="79">
      <c r="A79" t="inlineStr">
        <is>
          <t>2003-10-01</t>
        </is>
      </c>
      <c r="B79" t="n">
        <v>0.8265324286378588</v>
      </c>
      <c r="C79" t="n">
        <v>2.204159680354117</v>
      </c>
      <c r="D79" t="n">
        <v>0.806028407025825</v>
      </c>
      <c r="E79" t="n">
        <v>2.130666788012964</v>
      </c>
      <c r="F79" t="n">
        <v>0.703828479224524</v>
      </c>
      <c r="G79" t="n">
        <v>0.706551009029556</v>
      </c>
    </row>
    <row r="80">
      <c r="A80" t="inlineStr">
        <is>
          <t>2004-01-01</t>
        </is>
      </c>
      <c r="B80" t="n">
        <v>0.7884874719010044</v>
      </c>
      <c r="C80" t="n">
        <v>2.177010573679491</v>
      </c>
      <c r="D80" t="n">
        <v>0.7689383006549702</v>
      </c>
      <c r="E80" t="n">
        <v>2.093583086282584</v>
      </c>
      <c r="F80" t="n">
        <v>0.6956202292308674</v>
      </c>
      <c r="G80" t="n">
        <v>0.6818378888713416</v>
      </c>
    </row>
    <row r="81">
      <c r="A81" t="inlineStr">
        <is>
          <t>2004-04-01</t>
        </is>
      </c>
      <c r="B81" t="n">
        <v>0.7472776915167474</v>
      </c>
      <c r="C81" t="n">
        <v>2.149927934141529</v>
      </c>
      <c r="D81" t="n">
        <v>0.729144681783461</v>
      </c>
      <c r="E81" t="n">
        <v>2.053797598135581</v>
      </c>
      <c r="F81" t="n">
        <v>0.6893208418319151</v>
      </c>
      <c r="G81" t="n">
        <v>0.6610674287752492</v>
      </c>
    </row>
    <row r="82">
      <c r="A82" t="inlineStr">
        <is>
          <t>2004-07-01</t>
        </is>
      </c>
      <c r="B82" t="n">
        <v>0.7023908356769515</v>
      </c>
      <c r="C82" t="n">
        <v>2.122988288030277</v>
      </c>
      <c r="D82" t="n">
        <v>0.6860605507244104</v>
      </c>
      <c r="E82" t="n">
        <v>2.010722888299822</v>
      </c>
      <c r="F82" t="n">
        <v>0.6878259782668213</v>
      </c>
      <c r="G82" t="n">
        <v>0.6479715340891852</v>
      </c>
    </row>
    <row r="83">
      <c r="A83" t="inlineStr">
        <is>
          <t>2004-10-01</t>
        </is>
      </c>
      <c r="B83" t="n">
        <v>0.6567934597553444</v>
      </c>
      <c r="C83" t="n">
        <v>2.096260446297067</v>
      </c>
      <c r="D83" t="n">
        <v>0.6427401687088157</v>
      </c>
      <c r="E83" t="n">
        <v>1.96741287900031</v>
      </c>
      <c r="F83" t="n">
        <v>0.6830409721829971</v>
      </c>
      <c r="G83" t="n">
        <v>0.6247054828877507</v>
      </c>
    </row>
    <row r="84">
      <c r="A84" t="inlineStr">
        <is>
          <t>2005-01-01</t>
        </is>
      </c>
      <c r="B84" t="n">
        <v>0.6099369545174045</v>
      </c>
      <c r="C84" t="n">
        <v>2.069814594904052</v>
      </c>
      <c r="D84" t="n">
        <v>0.5980982533979948</v>
      </c>
      <c r="E84" t="n">
        <v>1.922781822971031</v>
      </c>
      <c r="F84" t="n">
        <v>0.692904943357579</v>
      </c>
      <c r="G84" t="n">
        <v>0.6433968363624428</v>
      </c>
    </row>
    <row r="85">
      <c r="A85" t="inlineStr">
        <is>
          <t>2005-04-01</t>
        </is>
      </c>
      <c r="B85" t="n">
        <v>0.5653920495638887</v>
      </c>
      <c r="C85" t="n">
        <v>2.043789449957827</v>
      </c>
      <c r="D85" t="n">
        <v>0.5557401398604775</v>
      </c>
      <c r="E85" t="n">
        <v>1.880434252112059</v>
      </c>
      <c r="F85" t="n">
        <v>0.6932805724241482</v>
      </c>
      <c r="G85" t="n">
        <v>0.6226910018568337</v>
      </c>
    </row>
    <row r="86">
      <c r="A86" t="inlineStr">
        <is>
          <t>2005-07-01</t>
        </is>
      </c>
      <c r="B86" t="n">
        <v>0.5234827845817798</v>
      </c>
      <c r="C86" t="n">
        <v>2.018258228766336</v>
      </c>
      <c r="D86" t="n">
        <v>0.5156907466797302</v>
      </c>
      <c r="E86" t="n">
        <v>1.840394941576656</v>
      </c>
      <c r="F86" t="n">
        <v>0.6974290235201682</v>
      </c>
      <c r="G86" t="n">
        <v>0.6258066831076214</v>
      </c>
    </row>
    <row r="87">
      <c r="A87" t="inlineStr">
        <is>
          <t>2005-10-01</t>
        </is>
      </c>
      <c r="B87" t="n">
        <v>0.4852584530925115</v>
      </c>
      <c r="C87" t="n">
        <v>1.993290977239602</v>
      </c>
      <c r="D87" t="n">
        <v>0.4787081633266599</v>
      </c>
      <c r="E87" t="n">
        <v>1.803421168585722</v>
      </c>
      <c r="F87" t="n">
        <v>0.7046802910708568</v>
      </c>
      <c r="G87" t="n">
        <v>0.6319748563461984</v>
      </c>
    </row>
    <row r="88">
      <c r="A88" t="inlineStr">
        <is>
          <t>2006-01-01</t>
        </is>
      </c>
      <c r="B88" t="n">
        <v>0.4529833435612529</v>
      </c>
      <c r="C88" t="n">
        <v>1.968989740303734</v>
      </c>
      <c r="D88" t="n">
        <v>0.4473220867836802</v>
      </c>
      <c r="E88" t="n">
        <v>1.772042841250198</v>
      </c>
      <c r="F88" t="n">
        <v>0.706083914759652</v>
      </c>
      <c r="G88" t="n">
        <v>0.6298259462883342</v>
      </c>
    </row>
    <row r="89">
      <c r="A89" t="inlineStr">
        <is>
          <t>2006-04-01</t>
        </is>
      </c>
      <c r="B89" t="n">
        <v>0.423000885447228</v>
      </c>
      <c r="C89" t="n">
        <v>1.945448009515209</v>
      </c>
      <c r="D89" t="n">
        <v>0.417655702095524</v>
      </c>
      <c r="E89" t="n">
        <v>1.742383396607756</v>
      </c>
      <c r="F89" t="n">
        <v>0.7155696905600237</v>
      </c>
      <c r="G89" t="n">
        <v>0.6511562456828577</v>
      </c>
    </row>
    <row r="90">
      <c r="A90" t="inlineStr">
        <is>
          <t>2006-07-01</t>
        </is>
      </c>
      <c r="B90" t="n">
        <v>0.3975884258232818</v>
      </c>
      <c r="C90" t="n">
        <v>1.922692720667797</v>
      </c>
      <c r="D90" t="n">
        <v>0.3923484615482646</v>
      </c>
      <c r="E90" t="n">
        <v>1.717081827960441</v>
      </c>
      <c r="F90" t="n">
        <v>0.6999820228837006</v>
      </c>
      <c r="G90" t="n">
        <v>0.5979619853638907</v>
      </c>
    </row>
    <row r="91">
      <c r="A91" t="inlineStr">
        <is>
          <t>2006-10-01</t>
        </is>
      </c>
      <c r="B91" t="n">
        <v>0.3759238980934694</v>
      </c>
      <c r="C91" t="n">
        <v>1.900746230776112</v>
      </c>
      <c r="D91" t="n">
        <v>0.3703624851422857</v>
      </c>
      <c r="E91" t="n">
        <v>1.6951006905945</v>
      </c>
      <c r="F91" t="n">
        <v>0.6897399772325423</v>
      </c>
      <c r="G91" t="n">
        <v>0.5700466595278482</v>
      </c>
    </row>
    <row r="92">
      <c r="A92" t="inlineStr">
        <is>
          <t>2007-01-01</t>
        </is>
      </c>
      <c r="B92" t="n">
        <v>0.3564469396863927</v>
      </c>
      <c r="C92" t="n">
        <v>1.879631691819442</v>
      </c>
      <c r="D92" t="n">
        <v>0.3504293466294772</v>
      </c>
      <c r="E92" t="n">
        <v>1.675171805053443</v>
      </c>
      <c r="F92" t="n">
        <v>0.6853789637038931</v>
      </c>
      <c r="G92" t="n">
        <v>0.5348945183060351</v>
      </c>
    </row>
    <row r="93">
      <c r="A93" t="inlineStr">
        <is>
          <t>2007-04-01</t>
        </is>
      </c>
      <c r="B93" t="n">
        <v>0.3389054044768587</v>
      </c>
      <c r="C93" t="n">
        <v>1.859385017716077</v>
      </c>
      <c r="D93" t="n">
        <v>0.3324713599926165</v>
      </c>
      <c r="E93" t="n">
        <v>1.657217644455148</v>
      </c>
      <c r="F93" t="n">
        <v>0.682803007039974</v>
      </c>
      <c r="G93" t="n">
        <v>0.5126416172928892</v>
      </c>
    </row>
    <row r="94">
      <c r="A94" t="inlineStr">
        <is>
          <t>2007-07-01</t>
        </is>
      </c>
      <c r="B94" t="n">
        <v>0.3227168613501585</v>
      </c>
      <c r="C94" t="n">
        <v>1.839994470754758</v>
      </c>
      <c r="D94" t="n">
        <v>0.3157896175174308</v>
      </c>
      <c r="E94" t="n">
        <v>1.640539070896013</v>
      </c>
      <c r="F94" t="n">
        <v>0.6881043717144369</v>
      </c>
      <c r="G94" t="n">
        <v>0.5045550721757497</v>
      </c>
    </row>
    <row r="95">
      <c r="A95" t="inlineStr">
        <is>
          <t>2007-10-01</t>
        </is>
      </c>
      <c r="B95" t="n">
        <v>0.309810014530985</v>
      </c>
      <c r="C95" t="n">
        <v>1.821454670751212</v>
      </c>
      <c r="D95" t="n">
        <v>0.3021296108769968</v>
      </c>
      <c r="E95" t="n">
        <v>1.626881006465264</v>
      </c>
      <c r="F95" t="n">
        <v>0.695531381558526</v>
      </c>
      <c r="G95" t="n">
        <v>0.4901061674613959</v>
      </c>
    </row>
    <row r="96">
      <c r="A96" t="inlineStr">
        <is>
          <t>2008-01-01</t>
        </is>
      </c>
      <c r="B96" t="n">
        <v>0.3006110407146527</v>
      </c>
      <c r="C96" t="n">
        <v>1.803762257471688</v>
      </c>
      <c r="D96" t="n">
        <v>0.291958529950743</v>
      </c>
      <c r="E96" t="n">
        <v>1.616710780959437</v>
      </c>
      <c r="F96" t="n">
        <v>0.7028206322400038</v>
      </c>
      <c r="G96" t="n">
        <v>0.4943455548988327</v>
      </c>
    </row>
    <row r="97">
      <c r="A97" t="inlineStr">
        <is>
          <t>2008-04-01</t>
        </is>
      </c>
      <c r="B97" t="n">
        <v>0.2941982276413093</v>
      </c>
      <c r="C97" t="n">
        <v>1.786892152522548</v>
      </c>
      <c r="D97" t="n">
        <v>0.2840441381016847</v>
      </c>
      <c r="E97" t="n">
        <v>1.608795576298226</v>
      </c>
      <c r="F97" t="n">
        <v>0.7027368797651751</v>
      </c>
      <c r="G97" t="n">
        <v>0.4850182699448058</v>
      </c>
    </row>
    <row r="98">
      <c r="A98" t="inlineStr">
        <is>
          <t>2008-07-01</t>
        </is>
      </c>
      <c r="B98" t="n">
        <v>0.2942787970599112</v>
      </c>
      <c r="C98" t="n">
        <v>1.770795541730098</v>
      </c>
      <c r="D98" t="n">
        <v>0.2820315840988638</v>
      </c>
      <c r="E98" t="n">
        <v>1.606779823791115</v>
      </c>
      <c r="F98" t="n">
        <v>0.7044427964306641</v>
      </c>
      <c r="G98" t="n">
        <v>0.4625492890412964</v>
      </c>
    </row>
    <row r="99">
      <c r="A99" t="inlineStr">
        <is>
          <t>2008-10-01</t>
        </is>
      </c>
      <c r="B99" t="n">
        <v>0.2999700099325773</v>
      </c>
      <c r="C99" t="n">
        <v>1.755411573461783</v>
      </c>
      <c r="D99" t="n">
        <v>0.2847715524204293</v>
      </c>
      <c r="E99" t="n">
        <v>1.609514549433507</v>
      </c>
      <c r="F99" t="n">
        <v>0.709522058144282</v>
      </c>
      <c r="G99" t="n">
        <v>0.467623895442982</v>
      </c>
    </row>
    <row r="100">
      <c r="A100" t="inlineStr">
        <is>
          <t>2009-01-01</t>
        </is>
      </c>
      <c r="B100" t="n">
        <v>0.3098624204492477</v>
      </c>
      <c r="C100" t="n">
        <v>1.740636533913782</v>
      </c>
      <c r="D100" t="n">
        <v>0.2911242543220951</v>
      </c>
      <c r="E100" t="n">
        <v>1.615860423400203</v>
      </c>
      <c r="F100" t="n">
        <v>0.7161392793288205</v>
      </c>
      <c r="G100" t="n">
        <v>0.4812510461943476</v>
      </c>
    </row>
    <row r="101">
      <c r="A101" t="inlineStr">
        <is>
          <t>2009-04-01</t>
        </is>
      </c>
      <c r="B101" t="n">
        <v>0.3214838092034746</v>
      </c>
      <c r="C101" t="n">
        <v>1.726373903121119</v>
      </c>
      <c r="D101" t="n">
        <v>0.2992656884120608</v>
      </c>
      <c r="E101" t="n">
        <v>1.623994749237296</v>
      </c>
      <c r="F101" t="n">
        <v>0.7153859543589454</v>
      </c>
      <c r="G101" t="n">
        <v>0.480045725039361</v>
      </c>
    </row>
    <row r="102">
      <c r="A102" t="inlineStr">
        <is>
          <t>2009-07-01</t>
        </is>
      </c>
      <c r="B102" t="n">
        <v>0.3303851585046002</v>
      </c>
      <c r="C102" t="n">
        <v>1.712520663437433</v>
      </c>
      <c r="D102" t="n">
        <v>0.3048444275138726</v>
      </c>
      <c r="E102" t="n">
        <v>1.629566495350331</v>
      </c>
      <c r="F102" t="n">
        <v>0.7076463744118615</v>
      </c>
      <c r="G102" t="n">
        <v>0.4540432718897766</v>
      </c>
    </row>
    <row r="103">
      <c r="A103" t="inlineStr">
        <is>
          <t>2009-10-01</t>
        </is>
      </c>
      <c r="B103" t="n">
        <v>0.3391234867798947</v>
      </c>
      <c r="C103" t="n">
        <v>1.698992984167706</v>
      </c>
      <c r="D103" t="n">
        <v>0.3105130534716658</v>
      </c>
      <c r="E103" t="n">
        <v>1.63522799534308</v>
      </c>
      <c r="F103" t="n">
        <v>0.6930174447167597</v>
      </c>
      <c r="G103" t="n">
        <v>0.4109793178953516</v>
      </c>
    </row>
    <row r="104">
      <c r="A104" t="inlineStr">
        <is>
          <t>2010-01-01</t>
        </is>
      </c>
      <c r="B104" t="n">
        <v>0.3452829616609125</v>
      </c>
      <c r="C104" t="n">
        <v>1.685694822920873</v>
      </c>
      <c r="D104" t="n">
        <v>0.3142173565183792</v>
      </c>
      <c r="E104" t="n">
        <v>1.638926615343798</v>
      </c>
      <c r="F104" t="n">
        <v>0.6965011731191452</v>
      </c>
      <c r="G104" t="n">
        <v>0.4213619107765419</v>
      </c>
    </row>
    <row r="105">
      <c r="A105" t="inlineStr">
        <is>
          <t>2010-04-01</t>
        </is>
      </c>
      <c r="B105" t="n">
        <v>0.3439312342473979</v>
      </c>
      <c r="C105" t="n">
        <v>1.672554553719479</v>
      </c>
      <c r="D105" t="n">
        <v>0.3110988714661069</v>
      </c>
      <c r="E105" t="n">
        <v>1.635804246273531</v>
      </c>
      <c r="F105" t="n">
        <v>0.6852980498528116</v>
      </c>
      <c r="G105" t="n">
        <v>0.359989460444977</v>
      </c>
    </row>
    <row r="106">
      <c r="A106" t="inlineStr">
        <is>
          <t>2010-07-01</t>
        </is>
      </c>
      <c r="B106" t="n">
        <v>0.3382984084008418</v>
      </c>
      <c r="C106" t="n">
        <v>1.659540521309415</v>
      </c>
      <c r="D106" t="n">
        <v>0.3049334729129127</v>
      </c>
      <c r="E106" t="n">
        <v>1.629636650401268</v>
      </c>
      <c r="F106" t="n">
        <v>0.6869056661851274</v>
      </c>
      <c r="G106" t="n">
        <v>0.3531986433679672</v>
      </c>
    </row>
    <row r="107">
      <c r="A107" t="inlineStr">
        <is>
          <t>2010-10-01</t>
        </is>
      </c>
      <c r="B107" t="n">
        <v>0.3265365763685739</v>
      </c>
      <c r="C107" t="n">
        <v>1.646621291735614</v>
      </c>
      <c r="D107" t="n">
        <v>0.2930012797347252</v>
      </c>
      <c r="E107" t="n">
        <v>1.617703747999346</v>
      </c>
      <c r="F107" t="n">
        <v>0.6863803702268545</v>
      </c>
      <c r="G107" t="n">
        <v>0.3417178298816584</v>
      </c>
    </row>
    <row r="108">
      <c r="A108" t="inlineStr">
        <is>
          <t>2011-01-01</t>
        </is>
      </c>
      <c r="B108" t="n">
        <v>0.3124379851784524</v>
      </c>
      <c r="C108" t="n">
        <v>1.633794478184509</v>
      </c>
      <c r="D108" t="n">
        <v>0.2795164308530709</v>
      </c>
      <c r="E108" t="n">
        <v>1.604219163933708</v>
      </c>
      <c r="F108" t="n">
        <v>0.6908668704546491</v>
      </c>
      <c r="G108" t="n">
        <v>0.3267716074325899</v>
      </c>
    </row>
    <row r="109">
      <c r="A109" t="inlineStr">
        <is>
          <t>2011-04-01</t>
        </is>
      </c>
      <c r="B109" t="n">
        <v>0.2950945702186542</v>
      </c>
      <c r="C109" t="n">
        <v>1.621053493938226</v>
      </c>
      <c r="D109" t="n">
        <v>0.2629040837603835</v>
      </c>
      <c r="E109" t="n">
        <v>1.587608021953651</v>
      </c>
      <c r="F109" t="n">
        <v>0.7029310572099011</v>
      </c>
      <c r="G109" t="n">
        <v>0.3519422598677466</v>
      </c>
    </row>
    <row r="110">
      <c r="A110" t="inlineStr">
        <is>
          <t>2011-07-01</t>
        </is>
      </c>
      <c r="B110" t="n">
        <v>0.2763720452033269</v>
      </c>
      <c r="C110" t="n">
        <v>1.608407330539844</v>
      </c>
      <c r="D110" t="n">
        <v>0.2452134950652809</v>
      </c>
      <c r="E110" t="n">
        <v>1.569919412165646</v>
      </c>
      <c r="F110" t="n">
        <v>0.6925252703424277</v>
      </c>
      <c r="G110" t="n">
        <v>0.3052981588398746</v>
      </c>
    </row>
    <row r="111">
      <c r="A111" t="inlineStr">
        <is>
          <t>2011-10-01</t>
        </is>
      </c>
      <c r="B111" t="n">
        <v>0.2545005341183444</v>
      </c>
      <c r="C111" t="n">
        <v>1.595858616822451</v>
      </c>
      <c r="D111" t="n">
        <v>0.2250552267050334</v>
      </c>
      <c r="E111" t="n">
        <v>1.549764913040768</v>
      </c>
      <c r="F111" t="n">
        <v>0.68751844163946</v>
      </c>
      <c r="G111" t="n">
        <v>0.2755476327879543</v>
      </c>
    </row>
    <row r="112">
      <c r="A112" t="inlineStr">
        <is>
          <t>2012-01-01</t>
        </is>
      </c>
      <c r="B112" t="n">
        <v>0.2275152960714661</v>
      </c>
      <c r="C112" t="n">
        <v>1.58343551956489</v>
      </c>
      <c r="D112" t="n">
        <v>0.1999680779561197</v>
      </c>
      <c r="E112" t="n">
        <v>1.524682405146927</v>
      </c>
      <c r="F112" t="n">
        <v>0.688452535445864</v>
      </c>
      <c r="G112" t="n">
        <v>0.2712385792738185</v>
      </c>
    </row>
    <row r="113">
      <c r="A113" t="inlineStr">
        <is>
          <t>2012-04-01</t>
        </is>
      </c>
      <c r="B113" t="n">
        <v>0.2022603894985892</v>
      </c>
      <c r="C113" t="n">
        <v>1.571180361120048</v>
      </c>
      <c r="D113" t="n">
        <v>0.1770323310093169</v>
      </c>
      <c r="E113" t="n">
        <v>1.501751639778083</v>
      </c>
      <c r="F113" t="n">
        <v>0.6878464022669748</v>
      </c>
      <c r="G113" t="n">
        <v>0.2292907208599379</v>
      </c>
    </row>
    <row r="114">
      <c r="A114" t="inlineStr">
        <is>
          <t>2012-07-01</t>
        </is>
      </c>
      <c r="B114" t="n">
        <v>0.1743118717223344</v>
      </c>
      <c r="C114" t="n">
        <v>1.55916151755453</v>
      </c>
      <c r="D114" t="n">
        <v>0.1513864549959225</v>
      </c>
      <c r="E114" t="n">
        <v>1.476112055830333</v>
      </c>
      <c r="F114" t="n">
        <v>0.6904985821029773</v>
      </c>
      <c r="G114" t="n">
        <v>0.2164882052841154</v>
      </c>
    </row>
    <row r="115">
      <c r="A115" t="inlineStr">
        <is>
          <t>2012-10-01</t>
        </is>
      </c>
      <c r="B115" t="n">
        <v>0.1441542614180511</v>
      </c>
      <c r="C115" t="n">
        <v>1.547453922129047</v>
      </c>
      <c r="D115" t="n">
        <v>0.1240774547664722</v>
      </c>
      <c r="E115" t="n">
        <v>1.448809870700203</v>
      </c>
      <c r="F115" t="n">
        <v>0.6877010000327474</v>
      </c>
      <c r="G115" t="n">
        <v>0.1608090689808535</v>
      </c>
    </row>
    <row r="116">
      <c r="A116" t="inlineStr">
        <is>
          <t>2013-01-01</t>
        </is>
      </c>
      <c r="B116" t="n">
        <v>0.1159181338097834</v>
      </c>
      <c r="C116" t="n">
        <v>1.536116744767253</v>
      </c>
      <c r="D116" t="n">
        <v>0.0982473152787697</v>
      </c>
      <c r="E116" t="n">
        <v>1.422985687827328</v>
      </c>
      <c r="F116" t="n">
        <v>0.6887418338124126</v>
      </c>
      <c r="G116" t="n">
        <v>0.127996352162355</v>
      </c>
    </row>
    <row r="117">
      <c r="A117" t="inlineStr">
        <is>
          <t>2013-04-01</t>
        </is>
      </c>
      <c r="B117" t="n">
        <v>0.0924787205201926</v>
      </c>
      <c r="C117" t="n">
        <v>1.525184720345438</v>
      </c>
      <c r="D117" t="n">
        <v>0.07683284180811339</v>
      </c>
      <c r="E117" t="n">
        <v>1.401576305647654</v>
      </c>
      <c r="F117" t="n">
        <v>0.6880743770356631</v>
      </c>
      <c r="G117" t="n">
        <v>0.1057969304546138</v>
      </c>
    </row>
    <row r="118">
      <c r="A118" t="inlineStr">
        <is>
          <t>2013-07-01</t>
        </is>
      </c>
      <c r="B118" t="n">
        <v>0.07084006471816991</v>
      </c>
      <c r="C118" t="n">
        <v>1.51467119214928</v>
      </c>
      <c r="D118" t="n">
        <v>0.0566033072785767</v>
      </c>
      <c r="E118" t="n">
        <v>1.38135124810111</v>
      </c>
      <c r="F118" t="n">
        <v>0.674605266459288</v>
      </c>
      <c r="G118" t="n">
        <v>0.0569086755459748</v>
      </c>
    </row>
    <row r="119">
      <c r="A119" t="inlineStr">
        <is>
          <t>2013-10-01</t>
        </is>
      </c>
      <c r="B119" t="n">
        <v>0.052461078471226</v>
      </c>
      <c r="C119" t="n">
        <v>1.504622234354639</v>
      </c>
      <c r="D119" t="n">
        <v>0.0395234529671608</v>
      </c>
      <c r="E119" t="n">
        <v>1.36427507701792</v>
      </c>
      <c r="F119" t="n">
        <v>0.6614673558397195</v>
      </c>
      <c r="G119" t="n">
        <v>0.0211116989938598</v>
      </c>
    </row>
    <row r="120">
      <c r="A120" t="inlineStr">
        <is>
          <t>2014-01-01</t>
        </is>
      </c>
      <c r="B120" t="n">
        <v>0.036456871211556</v>
      </c>
      <c r="C120" t="n">
        <v>1.49505561026837</v>
      </c>
      <c r="D120" t="n">
        <v>0.0242056905036449</v>
      </c>
      <c r="E120" t="n">
        <v>1.348960261850535</v>
      </c>
      <c r="F120" t="n">
        <v>0.64250311974708</v>
      </c>
      <c r="G120" t="n">
        <v>-0.0520602931087701</v>
      </c>
    </row>
    <row r="121">
      <c r="A121" t="inlineStr">
        <is>
          <t>2014-04-01</t>
        </is>
      </c>
      <c r="B121" t="n">
        <v>0.0227828170558888</v>
      </c>
      <c r="C121" t="n">
        <v>1.485986859490123</v>
      </c>
      <c r="D121" t="n">
        <v>0.0113559635059237</v>
      </c>
      <c r="E121" t="n">
        <v>1.336113402994905</v>
      </c>
      <c r="F121" t="n">
        <v>0.6532623210519628</v>
      </c>
      <c r="G121" t="n">
        <v>0.0043489214649952</v>
      </c>
    </row>
    <row r="122">
      <c r="A122" t="inlineStr">
        <is>
          <t>2014-07-01</t>
        </is>
      </c>
      <c r="B122" t="n">
        <v>0.0080574634229895</v>
      </c>
      <c r="C122" t="n">
        <v>1.477386764752884</v>
      </c>
      <c r="D122" t="n">
        <v>-0.002691116290018</v>
      </c>
      <c r="E122" t="n">
        <v>1.322068898260579</v>
      </c>
      <c r="F122" t="n">
        <v>0.6631901624342172</v>
      </c>
      <c r="G122" t="n">
        <v>0.0265606222483954</v>
      </c>
    </row>
    <row r="123">
      <c r="A123" t="inlineStr">
        <is>
          <t>2014-10-01</t>
        </is>
      </c>
      <c r="B123" t="n">
        <v>-0.0023362408263549</v>
      </c>
      <c r="C123" t="n">
        <v>1.469276055402131</v>
      </c>
      <c r="D123" t="n">
        <v>-0.0128217099956127</v>
      </c>
      <c r="E123" t="n">
        <v>1.31193884027021</v>
      </c>
      <c r="F123" t="n">
        <v>0.6718173694083465</v>
      </c>
      <c r="G123" t="n">
        <v>0.0648692107394699</v>
      </c>
    </row>
    <row r="124">
      <c r="A124" t="inlineStr">
        <is>
          <t>2015-01-01</t>
        </is>
      </c>
      <c r="B124" t="n">
        <v>-0.0056696624130143</v>
      </c>
      <c r="C124" t="n">
        <v>1.461652257400579</v>
      </c>
      <c r="D124" t="n">
        <v>-0.0167515064746808</v>
      </c>
      <c r="E124" t="n">
        <v>1.308007575749647</v>
      </c>
      <c r="F124" t="n">
        <v>0.6690820665021289</v>
      </c>
      <c r="G124" t="n">
        <v>0.0650215470154442</v>
      </c>
    </row>
    <row r="125">
      <c r="A125" t="inlineStr">
        <is>
          <t>2015-04-01</t>
        </is>
      </c>
      <c r="B125" t="n">
        <v>-0.0053302023067844</v>
      </c>
      <c r="C125" t="n">
        <v>1.454466154119277</v>
      </c>
      <c r="D125" t="n">
        <v>-0.0177231775316513</v>
      </c>
      <c r="E125" t="n">
        <v>1.307033146375313</v>
      </c>
      <c r="F125" t="n">
        <v>0.6668840198718226</v>
      </c>
      <c r="G125" t="n">
        <v>0.0141122551244026</v>
      </c>
    </row>
    <row r="126">
      <c r="A126" t="inlineStr">
        <is>
          <t>2015-07-01</t>
        </is>
      </c>
      <c r="B126" t="n">
        <v>-0.0026629447270145</v>
      </c>
      <c r="C126" t="n">
        <v>1.447663596566767</v>
      </c>
      <c r="D126" t="n">
        <v>-0.016380382360748</v>
      </c>
      <c r="E126" t="n">
        <v>1.308372699118284</v>
      </c>
      <c r="F126" t="n">
        <v>0.6445496830467499</v>
      </c>
      <c r="G126" t="n">
        <v>-0.07889840150247519</v>
      </c>
    </row>
    <row r="127">
      <c r="A127" t="inlineStr">
        <is>
          <t>2015-10-01</t>
        </is>
      </c>
      <c r="B127" t="n">
        <v>-0.001118267748817</v>
      </c>
      <c r="C127" t="n">
        <v>1.441197526937789</v>
      </c>
      <c r="D127" t="n">
        <v>-0.016087564750074</v>
      </c>
      <c r="E127" t="n">
        <v>1.308662365270559</v>
      </c>
      <c r="F127" t="n">
        <v>0.6024861412244344</v>
      </c>
      <c r="G127" t="n">
        <v>-0.1572101071334867</v>
      </c>
    </row>
    <row r="128">
      <c r="A128" t="inlineStr">
        <is>
          <t>2016-01-01</t>
        </is>
      </c>
      <c r="B128" t="n">
        <v>0.0002233069437016</v>
      </c>
      <c r="C128" t="n">
        <v>1.435021609362427</v>
      </c>
      <c r="D128" t="n">
        <v>-0.0159593189601632</v>
      </c>
      <c r="E128" t="n">
        <v>1.308787151770806</v>
      </c>
      <c r="F128" t="n">
        <v>0.4963887445076538</v>
      </c>
      <c r="G128" t="n">
        <v>-0.4003028493845856</v>
      </c>
    </row>
    <row r="129">
      <c r="A129" t="inlineStr">
        <is>
          <t>2016-04-01</t>
        </is>
      </c>
      <c r="B129" t="n">
        <v>0.0017171710407084</v>
      </c>
      <c r="C129" t="n">
        <v>1.429079962589927</v>
      </c>
      <c r="D129" t="n">
        <v>-0.0153406253110954</v>
      </c>
      <c r="E129" t="n">
        <v>1.309402698256975</v>
      </c>
      <c r="F129" t="n">
        <v>0.4451135010369384</v>
      </c>
      <c r="G129" t="n">
        <v>-0.4541056245887104</v>
      </c>
    </row>
    <row r="130">
      <c r="A130" t="inlineStr">
        <is>
          <t>2016-07-01</t>
        </is>
      </c>
      <c r="B130" t="n">
        <v>0.000681383684653</v>
      </c>
      <c r="C130" t="n">
        <v>1.42331828243418</v>
      </c>
      <c r="D130" t="n">
        <v>-0.0174390513958999</v>
      </c>
      <c r="E130" t="n">
        <v>1.307300820755188</v>
      </c>
      <c r="F130" t="n">
        <v>0.4182593367631521</v>
      </c>
      <c r="G130" t="n">
        <v>-0.4952873870308217</v>
      </c>
    </row>
    <row r="131">
      <c r="A131" t="inlineStr">
        <is>
          <t>2016-10-01</t>
        </is>
      </c>
      <c r="B131" t="n">
        <v>0.0033014319841302</v>
      </c>
      <c r="C131" t="n">
        <v>1.417691621680092</v>
      </c>
      <c r="D131" t="n">
        <v>-0.0159698532211571</v>
      </c>
      <c r="E131" t="n">
        <v>1.308765177314708</v>
      </c>
      <c r="F131" t="n">
        <v>0.3925327453967541</v>
      </c>
      <c r="G131" t="n">
        <v>-0.5539461392809542</v>
      </c>
    </row>
    <row r="132">
      <c r="A132" t="inlineStr">
        <is>
          <t>2017-01-01</t>
        </is>
      </c>
      <c r="B132" t="n">
        <v>0.0085055153520556</v>
      </c>
      <c r="C132" t="n">
        <v>1.412149915278012</v>
      </c>
      <c r="D132" t="n">
        <v>-0.0127476201463925</v>
      </c>
      <c r="E132" t="n">
        <v>1.311981502844401</v>
      </c>
      <c r="F132" t="n">
        <v>0.3869477110106105</v>
      </c>
      <c r="G132" t="n">
        <v>-0.5699124556181154</v>
      </c>
    </row>
    <row r="133">
      <c r="A133" t="inlineStr">
        <is>
          <t>2017-04-01</t>
        </is>
      </c>
      <c r="B133" t="n">
        <v>0.015437117007621</v>
      </c>
      <c r="C133" t="n">
        <v>1.406659983210084</v>
      </c>
      <c r="D133" t="n">
        <v>-0.0078759499184859</v>
      </c>
      <c r="E133" t="n">
        <v>1.316846614974793</v>
      </c>
      <c r="F133" t="n">
        <v>0.3657871372057313</v>
      </c>
      <c r="G133" t="n">
        <v>-0.6333236325231676</v>
      </c>
    </row>
    <row r="134">
      <c r="A134" t="inlineStr">
        <is>
          <t>2017-07-01</t>
        </is>
      </c>
      <c r="B134" t="n">
        <v>0.0225769335664494</v>
      </c>
      <c r="C134" t="n">
        <v>1.401114972316795</v>
      </c>
      <c r="D134" t="n">
        <v>-0.0033246701185527</v>
      </c>
      <c r="E134" t="n">
        <v>1.321390648232084</v>
      </c>
      <c r="F134" t="n">
        <v>0.3722285384270513</v>
      </c>
      <c r="G134" t="n">
        <v>-0.6315022200051994</v>
      </c>
    </row>
    <row r="135">
      <c r="A135" t="inlineStr">
        <is>
          <t>2017-10-01</t>
        </is>
      </c>
      <c r="B135" t="n">
        <v>0.0309087220461536</v>
      </c>
      <c r="C135" t="n">
        <v>1.395446808832448</v>
      </c>
      <c r="D135" t="n">
        <v>0.0025892694898088</v>
      </c>
      <c r="E135" t="n">
        <v>1.327297487220055</v>
      </c>
      <c r="F135" t="n">
        <v>0.3841949302401621</v>
      </c>
      <c r="G135" t="n">
        <v>-0.6367547976544345</v>
      </c>
    </row>
    <row r="136">
      <c r="A136" t="inlineStr">
        <is>
          <t>2018-01-01</t>
        </is>
      </c>
      <c r="B136" t="n">
        <v>0.0346040836820438</v>
      </c>
      <c r="C136" t="n">
        <v>1.389587111347781</v>
      </c>
      <c r="D136" t="n">
        <v>0.004083702825179</v>
      </c>
      <c r="E136" t="n">
        <v>1.328785986346104</v>
      </c>
      <c r="F136" t="n">
        <v>0.3881810364707075</v>
      </c>
      <c r="G136" t="n">
        <v>-0.6422438077046977</v>
      </c>
    </row>
    <row r="137">
      <c r="A137" t="inlineStr">
        <is>
          <t>2018-04-01</t>
        </is>
      </c>
      <c r="B137" t="n">
        <v>0.0352642782730585</v>
      </c>
      <c r="C137" t="n">
        <v>1.383486284559478</v>
      </c>
      <c r="D137" t="n">
        <v>0.002928517540913</v>
      </c>
      <c r="E137" t="n">
        <v>1.327625006848462</v>
      </c>
      <c r="F137" t="n">
        <v>0.3800772613630653</v>
      </c>
      <c r="G137" t="n">
        <v>-0.6928547729568129</v>
      </c>
    </row>
    <row r="138">
      <c r="A138" t="inlineStr">
        <is>
          <t>2018-07-01</t>
        </is>
      </c>
      <c r="B138" t="n">
        <v>0.0366301423207353</v>
      </c>
      <c r="C138" t="n">
        <v>1.377098547005987</v>
      </c>
      <c r="D138" t="n">
        <v>0.0022335333604575</v>
      </c>
      <c r="E138" t="n">
        <v>1.326923912930884</v>
      </c>
      <c r="F138" t="n">
        <v>0.3857739464092432</v>
      </c>
      <c r="G138" t="n">
        <v>-0.7051092433391372</v>
      </c>
    </row>
    <row r="139">
      <c r="A139" t="inlineStr">
        <is>
          <t>2018-10-01</t>
        </is>
      </c>
      <c r="B139" t="n">
        <v>0.036987342290961</v>
      </c>
      <c r="C139" t="n">
        <v>1.370351548694358</v>
      </c>
      <c r="D139" t="n">
        <v>0.0005283851440558</v>
      </c>
      <c r="E139" t="n">
        <v>1.325213459621359</v>
      </c>
      <c r="F139" t="n">
        <v>0.4013919815154684</v>
      </c>
      <c r="G139" t="n">
        <v>-0.6772943869312873</v>
      </c>
    </row>
    <row r="140">
      <c r="A140" t="inlineStr">
        <is>
          <t>2019-01-01</t>
        </is>
      </c>
      <c r="B140" t="n">
        <v>0.0319743608659519</v>
      </c>
      <c r="C140" t="n">
        <v>1.363213077379434</v>
      </c>
      <c r="D140" t="n">
        <v>-0.0060098021018737</v>
      </c>
      <c r="E140" t="n">
        <v>1.318672026001913</v>
      </c>
      <c r="F140" t="n">
        <v>0.392191716232175</v>
      </c>
      <c r="G140" t="n">
        <v>-0.7299370419300919</v>
      </c>
    </row>
    <row r="141">
      <c r="A141" t="inlineStr">
        <is>
          <t>2019-04-01</t>
        </is>
      </c>
      <c r="B141" t="n">
        <v>0.0193355453795678</v>
      </c>
      <c r="C141" t="n">
        <v>1.355689651435779</v>
      </c>
      <c r="D141" t="n">
        <v>-0.0190768707297936</v>
      </c>
      <c r="E141" t="n">
        <v>1.305604926897948</v>
      </c>
      <c r="F141" t="n">
        <v>0.3933492248850926</v>
      </c>
      <c r="G141" t="n">
        <v>-0.7360163033623059</v>
      </c>
    </row>
    <row r="142">
      <c r="A142" t="inlineStr">
        <is>
          <t>2019-07-01</t>
        </is>
      </c>
      <c r="B142" t="n">
        <v>-0.0047803381401969</v>
      </c>
      <c r="C142" t="n">
        <v>1.347762445330285</v>
      </c>
      <c r="D142" t="n">
        <v>-0.0418195814842172</v>
      </c>
      <c r="E142" t="n">
        <v>1.282866862341851</v>
      </c>
      <c r="F142" t="n">
        <v>0.3861823701093279</v>
      </c>
      <c r="G142" t="n">
        <v>-0.7491574355640216</v>
      </c>
    </row>
    <row r="143">
      <c r="A143" t="inlineStr">
        <is>
          <t>2019-10-01</t>
        </is>
      </c>
      <c r="B143" t="n">
        <v>-0.0421841817640218</v>
      </c>
      <c r="C143" t="n">
        <v>1.339491595016226</v>
      </c>
      <c r="D143" t="n">
        <v>-0.0762050530562845</v>
      </c>
      <c r="E143" t="n">
        <v>1.248489956709555</v>
      </c>
      <c r="F143" t="n">
        <v>0.3801341011090964</v>
      </c>
      <c r="G143" t="n">
        <v>-0.7621717834508339</v>
      </c>
    </row>
    <row r="144">
      <c r="A144" t="inlineStr">
        <is>
          <t>2020-01-01</t>
        </is>
      </c>
      <c r="B144" t="n">
        <v>-0.08494728365232281</v>
      </c>
      <c r="C144" t="n">
        <v>1.330965328825113</v>
      </c>
      <c r="D144" t="n">
        <v>-0.1149156673393316</v>
      </c>
      <c r="E144" t="n">
        <v>1.209789386792187</v>
      </c>
      <c r="F144" t="n">
        <v>0.3672303480515427</v>
      </c>
      <c r="G144" t="n">
        <v>-0.8141165855082768</v>
      </c>
    </row>
    <row r="145">
      <c r="A145" t="inlineStr">
        <is>
          <t>2020-04-01</t>
        </is>
      </c>
      <c r="B145" t="n">
        <v>-0.1265722925041137</v>
      </c>
      <c r="C145" t="n">
        <v>1.322292558371933</v>
      </c>
      <c r="D145" t="n">
        <v>-0.153077506425892</v>
      </c>
      <c r="E145" t="n">
        <v>1.171637169796298</v>
      </c>
      <c r="F145" t="n">
        <v>0.3511362494683082</v>
      </c>
      <c r="G145" t="n">
        <v>-0.8675113464213988</v>
      </c>
    </row>
    <row r="146">
      <c r="A146" t="inlineStr">
        <is>
          <t>2020-07-01</t>
        </is>
      </c>
      <c r="B146" t="n">
        <v>-0.163822320316717</v>
      </c>
      <c r="C146" t="n">
        <v>1.313563940999623</v>
      </c>
      <c r="D146" t="n">
        <v>-0.1871101870716509</v>
      </c>
      <c r="E146" t="n">
        <v>1.137614073725006</v>
      </c>
      <c r="F146" t="n">
        <v>0.3465313335384454</v>
      </c>
      <c r="G146" t="n">
        <v>-0.8861246989988056</v>
      </c>
    </row>
    <row r="147">
      <c r="A147" t="inlineStr">
        <is>
          <t>2020-10-01</t>
        </is>
      </c>
      <c r="B147" t="n">
        <v>-0.2020587098478725</v>
      </c>
      <c r="C147" t="n">
        <v>1.304857836175983</v>
      </c>
      <c r="D147" t="n">
        <v>-0.222546261631777</v>
      </c>
      <c r="E147" t="n">
        <v>1.102188120301292</v>
      </c>
      <c r="F147" t="n">
        <v>0.3504118527242225</v>
      </c>
      <c r="G147" t="n">
        <v>-0.906140085349724</v>
      </c>
    </row>
    <row r="148">
      <c r="A148" t="inlineStr">
        <is>
          <t>2021-01-01</t>
        </is>
      </c>
      <c r="B148" t="n">
        <v>-0.2385548763041498</v>
      </c>
      <c r="C148" t="n">
        <v>1.296290312645529</v>
      </c>
      <c r="D148" t="n">
        <v>-0.2561149883029754</v>
      </c>
      <c r="E148" t="n">
        <v>1.068629383289395</v>
      </c>
      <c r="F148" t="n">
        <v>0.351439415447379</v>
      </c>
      <c r="G148" t="n">
        <v>-0.932017322448341</v>
      </c>
    </row>
    <row r="149">
      <c r="A149" t="inlineStr">
        <is>
          <t>2021-04-01</t>
        </is>
      </c>
      <c r="B149" t="n">
        <v>-0.2728902621228517</v>
      </c>
      <c r="C149" t="n">
        <v>1.287957492288714</v>
      </c>
      <c r="D149" t="n">
        <v>-0.2880007034455145</v>
      </c>
      <c r="E149" t="n">
        <v>1.036753314495423</v>
      </c>
      <c r="F149" t="n">
        <v>0.3464843913310446</v>
      </c>
      <c r="G149" t="n">
        <v>-0.9836233644820088</v>
      </c>
    </row>
    <row r="150">
      <c r="A150" t="inlineStr">
        <is>
          <t>2021-07-01</t>
        </is>
      </c>
      <c r="B150" t="n">
        <v>-0.304082931930546</v>
      </c>
      <c r="C150" t="n">
        <v>1.279971366246844</v>
      </c>
      <c r="D150" t="n">
        <v>-0.317098849915882</v>
      </c>
      <c r="E150" t="n">
        <v>1.007664318677629</v>
      </c>
      <c r="F150" t="n">
        <v>0.3566082241225611</v>
      </c>
      <c r="G150" t="n">
        <v>-0.983586939156795</v>
      </c>
    </row>
    <row r="151">
      <c r="A151" t="inlineStr">
        <is>
          <t>2021-10-01</t>
        </is>
      </c>
      <c r="B151" t="n">
        <v>-0.3332243318256416</v>
      </c>
      <c r="C151" t="n">
        <v>1.272420006044874</v>
      </c>
      <c r="D151" t="n">
        <v>-0.3442007595007932</v>
      </c>
      <c r="E151" t="n">
        <v>0.9805718325529272</v>
      </c>
      <c r="F151" t="n">
        <v>0.358578141928229</v>
      </c>
      <c r="G151" t="n">
        <v>-1.010501559096833</v>
      </c>
    </row>
    <row r="152">
      <c r="A152" t="inlineStr">
        <is>
          <t>2022-01-01</t>
        </is>
      </c>
      <c r="B152" t="n">
        <v>-0.3630719117509957</v>
      </c>
      <c r="C152" t="n">
        <v>1.265369058892201</v>
      </c>
      <c r="D152" t="n">
        <v>-0.3719693294470344</v>
      </c>
      <c r="E152" t="n">
        <v>0.952813010014142</v>
      </c>
      <c r="F152" t="n">
        <v>0.3604772475888462</v>
      </c>
      <c r="G152" t="n">
        <v>-1.050255889949877</v>
      </c>
    </row>
    <row r="153">
      <c r="A153" t="inlineStr">
        <is>
          <t>2022-04-01</t>
        </is>
      </c>
      <c r="B153" t="n">
        <v>-0.3908208604063601</v>
      </c>
      <c r="C153" t="n">
        <v>1.258909167797001</v>
      </c>
      <c r="D153" t="n">
        <v>-0.3975981670974445</v>
      </c>
      <c r="E153" t="n">
        <v>0.9271933433853736</v>
      </c>
      <c r="F153" t="n">
        <v>0.3567554129663065</v>
      </c>
      <c r="G153" t="n">
        <v>-1.089857828733293</v>
      </c>
    </row>
    <row r="154">
      <c r="A154" t="inlineStr">
        <is>
          <t>2022-07-01</t>
        </is>
      </c>
      <c r="B154" t="n">
        <v>-0.414433937860486</v>
      </c>
      <c r="C154" t="n">
        <v>1.253095449458147</v>
      </c>
      <c r="D154" t="n">
        <v>-0.4196456981761443</v>
      </c>
      <c r="E154" t="n">
        <v>0.90515348307774</v>
      </c>
      <c r="F154" t="n">
        <v>0.3480115794633615</v>
      </c>
      <c r="G154" t="n">
        <v>-1.141862593014435</v>
      </c>
    </row>
    <row r="155">
      <c r="A155" t="inlineStr">
        <is>
          <t>2022-10-01</t>
        </is>
      </c>
      <c r="B155" t="n">
        <v>-0.4307160862854782</v>
      </c>
      <c r="C155" t="n">
        <v>1.247978082126054</v>
      </c>
      <c r="D155" t="n">
        <v>-0.4353881773515407</v>
      </c>
      <c r="E155" t="n">
        <v>0.8894160222383584</v>
      </c>
      <c r="F155" t="n">
        <v>0.3304156601712834</v>
      </c>
      <c r="G155" t="n">
        <v>-1.238525164399782</v>
      </c>
    </row>
    <row r="156">
      <c r="A156" t="inlineStr">
        <is>
          <t>2023-01-01</t>
        </is>
      </c>
      <c r="B156" t="n">
        <v>-0.4378692409773845</v>
      </c>
      <c r="C156" t="n">
        <v>1.243559482555015</v>
      </c>
      <c r="D156" t="n">
        <v>-0.4430668048673214</v>
      </c>
      <c r="E156" t="n">
        <v>0.8817398707285707</v>
      </c>
      <c r="F156" t="n">
        <v>0.3146924669111348</v>
      </c>
      <c r="G156" t="n">
        <v>-1.305382172033119</v>
      </c>
    </row>
    <row r="157">
      <c r="A157" t="inlineStr">
        <is>
          <t>2023-04-01</t>
        </is>
      </c>
      <c r="B157" t="n">
        <v>-0.4392132829247024</v>
      </c>
      <c r="C157" t="n">
        <v>1.239816560644606</v>
      </c>
      <c r="D157" t="n">
        <v>-0.4459537321169948</v>
      </c>
      <c r="E157" t="n">
        <v>0.8788537835162458</v>
      </c>
      <c r="F157" t="n">
        <v>0.2999071619296389</v>
      </c>
      <c r="G157" t="n">
        <v>-1.358027959331071</v>
      </c>
    </row>
    <row r="158">
      <c r="A158" t="inlineStr">
        <is>
          <t>2023-07-01</t>
        </is>
      </c>
      <c r="B158" t="n">
        <v>-0.4377006393368092</v>
      </c>
      <c r="C158" t="n">
        <v>1.23669431102082</v>
      </c>
      <c r="D158" t="n">
        <v>-0.4458568955512153</v>
      </c>
      <c r="E158" t="n">
        <v>0.8789513032342425</v>
      </c>
      <c r="F158" t="n">
        <v>0.2809251408257394</v>
      </c>
      <c r="G158" t="n">
        <v>-1.418039439483866</v>
      </c>
    </row>
    <row r="159">
      <c r="A159" t="inlineStr">
        <is>
          <t>2023-10-01</t>
        </is>
      </c>
      <c r="B159" t="n">
        <v>-0.4382974521388392</v>
      </c>
      <c r="C159" t="n">
        <v>1.234151275210423</v>
      </c>
      <c r="D159" t="n">
        <v>-0.4478926912116618</v>
      </c>
      <c r="E159" t="n">
        <v>0.8769163900167997</v>
      </c>
      <c r="F159" t="n">
        <v>0.2772856210484112</v>
      </c>
      <c r="G159" t="n">
        <v>-1.468765563298319</v>
      </c>
    </row>
    <row r="160">
      <c r="A160" t="inlineStr">
        <is>
          <t>2024-01-01</t>
        </is>
      </c>
      <c r="B160" t="n">
        <v>-0.4379581071946716</v>
      </c>
      <c r="C160" t="n">
        <v>1.23212053723311</v>
      </c>
      <c r="D160" t="n">
        <v>-0.4484387863313811</v>
      </c>
      <c r="E160" t="n">
        <v>0.8763711270890764</v>
      </c>
      <c r="F160" t="n">
        <v>0.3249742536322439</v>
      </c>
      <c r="G160" t="n">
        <v>-1.347461234380237</v>
      </c>
    </row>
    <row r="161">
      <c r="A161" t="inlineStr">
        <is>
          <t>2024-04-01</t>
        </is>
      </c>
      <c r="B161" t="n">
        <v>-0.4384826220490434</v>
      </c>
      <c r="C161" t="n">
        <v>1.23055403928415</v>
      </c>
      <c r="D161" t="n">
        <v>-0.4499479350283977</v>
      </c>
      <c r="E161" t="n">
        <v>0.8748626262760318</v>
      </c>
      <c r="F161" t="n">
        <v>0.3250667982999968</v>
      </c>
      <c r="G161" t="n">
        <v>-1.381882610188986</v>
      </c>
    </row>
    <row r="162">
      <c r="A162" t="inlineStr">
        <is>
          <t>2024-07-01</t>
        </is>
      </c>
      <c r="B162" t="n">
        <v>-0.436520915390524</v>
      </c>
      <c r="C162" t="n">
        <v>1.229401938021343</v>
      </c>
      <c r="D162" t="n">
        <v>-0.4490590545706704</v>
      </c>
      <c r="E162" t="n">
        <v>0.8757508727014139</v>
      </c>
      <c r="F162" t="n">
        <v>0.3204136797383246</v>
      </c>
      <c r="G162" t="n">
        <v>-1.383495212886893</v>
      </c>
    </row>
    <row r="163">
      <c r="A163" t="inlineStr">
        <is>
          <t>2024-10-01</t>
        </is>
      </c>
      <c r="B163" t="n">
        <v>-0.4303255645063262</v>
      </c>
      <c r="C163" t="n">
        <v>1.228624223850436</v>
      </c>
      <c r="D163" t="n">
        <v>-0.4444325181087147</v>
      </c>
      <c r="E163" t="n">
        <v>0.8803753550315103</v>
      </c>
      <c r="F163" t="n">
        <v>0.3163077641297293</v>
      </c>
      <c r="G163" t="n">
        <v>-1.396642889631886</v>
      </c>
    </row>
    <row r="164">
      <c r="A164" t="inlineStr">
        <is>
          <t>2025-01-01</t>
        </is>
      </c>
      <c r="B164" t="n">
        <v>-0.4210314445062355</v>
      </c>
      <c r="C164" t="n">
        <v>1.228153978391041</v>
      </c>
      <c r="D164" t="n">
        <v>-0.4373248215457078</v>
      </c>
      <c r="E164" t="n">
        <v>0.8874800358780341</v>
      </c>
      <c r="F164" t="n">
        <v>0.3082746165075589</v>
      </c>
      <c r="G164" t="n">
        <v>-1.389019353984273</v>
      </c>
    </row>
    <row r="165">
      <c r="A165" t="inlineStr">
        <is>
          <t>2025-04-01</t>
        </is>
      </c>
      <c r="B165" t="n">
        <v>-0.4117655638329616</v>
      </c>
      <c r="C165" t="n">
        <v>1.227928885844292</v>
      </c>
      <c r="D165" t="n">
        <v>-0.4295494323876526</v>
      </c>
      <c r="E165" t="n">
        <v>0.8952536539431931</v>
      </c>
      <c r="F165" t="n">
        <v>0.2841797229015925</v>
      </c>
      <c r="G165" t="n">
        <v>-1.45109271183292</v>
      </c>
    </row>
    <row r="166">
      <c r="A166" t="inlineStr">
        <is>
          <t>2025-07-01</t>
        </is>
      </c>
      <c r="B166" t="n">
        <v>-0.4105149436714326</v>
      </c>
      <c r="C166" t="n">
        <v>1.2278621309799</v>
      </c>
      <c r="D166" t="n">
        <v>-0.4291733875309065</v>
      </c>
      <c r="E166" t="n">
        <v>0.8956296165547589</v>
      </c>
      <c r="F166" t="n">
        <v>0.2853110543568272</v>
      </c>
      <c r="G166" t="n">
        <v>-1.430180345119398</v>
      </c>
    </row>
    <row r="167">
      <c r="A167" t="inlineStr">
        <is>
          <t>2025-10-01</t>
        </is>
      </c>
      <c r="B167" t="n">
        <v>-0.4105149433771298</v>
      </c>
      <c r="C167" t="n">
        <v>1.227862130979898</v>
      </c>
      <c r="D167" t="n">
        <v>-0.4291733875102024</v>
      </c>
      <c r="E167" t="n">
        <v>0.895629616575463</v>
      </c>
      <c r="F167" t="n">
        <v>0.2841173676899249</v>
      </c>
      <c r="G167" t="n">
        <v>-1.445816596773652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2026-06-10T00:08:20Z</dcterms:created>
  <dcterms:modified xsi:type="dcterms:W3CDTF">2026-06-10T00:08:20Z</dcterms:modified>
</cp:coreProperties>
</file>